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brouk\Documents\GitHub\FIR_25KHz\"/>
    </mc:Choice>
  </mc:AlternateContent>
  <xr:revisionPtr revIDLastSave="0" documentId="13_ncr:1_{40F9FB93-6ED0-4337-AA62-D04C7C9E4171}" xr6:coauthVersionLast="47" xr6:coauthVersionMax="47" xr10:uidLastSave="{00000000-0000-0000-0000-000000000000}"/>
  <bookViews>
    <workbookView xWindow="28680" yWindow="-120" windowWidth="29040" windowHeight="15840" activeTab="1" xr2:uid="{A15C50DC-BAB7-4D4A-BBAA-A837C05AD7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1" i="2"/>
  <c r="D8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3" i="2"/>
  <c r="C2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1" i="2"/>
  <c r="E32" i="1"/>
  <c r="I31" i="1"/>
  <c r="E31" i="1"/>
  <c r="A32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A562" i="1" s="1"/>
  <c r="B563" i="1"/>
  <c r="B564" i="1"/>
  <c r="B565" i="1"/>
  <c r="B566" i="1"/>
  <c r="B567" i="1"/>
  <c r="B568" i="1"/>
  <c r="B569" i="1"/>
  <c r="B570" i="1"/>
  <c r="A570" i="1" s="1"/>
  <c r="B571" i="1"/>
  <c r="B572" i="1"/>
  <c r="B573" i="1"/>
  <c r="B574" i="1"/>
  <c r="B575" i="1"/>
  <c r="B576" i="1"/>
  <c r="B577" i="1"/>
  <c r="B578" i="1"/>
  <c r="A578" i="1" s="1"/>
  <c r="B579" i="1"/>
  <c r="B580" i="1"/>
  <c r="B581" i="1"/>
  <c r="B582" i="1"/>
  <c r="B583" i="1"/>
  <c r="B584" i="1"/>
  <c r="B585" i="1"/>
  <c r="B586" i="1"/>
  <c r="A586" i="1" s="1"/>
  <c r="B587" i="1"/>
  <c r="B588" i="1"/>
  <c r="B589" i="1"/>
  <c r="B590" i="1"/>
  <c r="B591" i="1"/>
  <c r="B592" i="1"/>
  <c r="B593" i="1"/>
  <c r="B594" i="1"/>
  <c r="A594" i="1" s="1"/>
  <c r="B595" i="1"/>
  <c r="B596" i="1"/>
  <c r="B597" i="1"/>
  <c r="B598" i="1"/>
  <c r="B599" i="1"/>
  <c r="B600" i="1"/>
  <c r="B601" i="1"/>
  <c r="B602" i="1"/>
  <c r="A602" i="1" s="1"/>
  <c r="B603" i="1"/>
  <c r="B604" i="1"/>
  <c r="B605" i="1"/>
  <c r="B606" i="1"/>
  <c r="B607" i="1"/>
  <c r="B608" i="1"/>
  <c r="B609" i="1"/>
  <c r="B610" i="1"/>
  <c r="A610" i="1" s="1"/>
  <c r="B611" i="1"/>
  <c r="B612" i="1"/>
  <c r="B613" i="1"/>
  <c r="B614" i="1"/>
  <c r="B615" i="1"/>
  <c r="B616" i="1"/>
  <c r="B617" i="1"/>
  <c r="B618" i="1"/>
  <c r="A618" i="1" s="1"/>
  <c r="B619" i="1"/>
  <c r="B620" i="1"/>
  <c r="B621" i="1"/>
  <c r="B622" i="1"/>
  <c r="B623" i="1"/>
  <c r="B624" i="1"/>
  <c r="B625" i="1"/>
  <c r="B626" i="1"/>
  <c r="A626" i="1" s="1"/>
  <c r="B627" i="1"/>
  <c r="B628" i="1"/>
  <c r="B629" i="1"/>
  <c r="B630" i="1"/>
  <c r="B631" i="1"/>
  <c r="B632" i="1"/>
  <c r="B633" i="1"/>
  <c r="B634" i="1"/>
  <c r="A634" i="1" s="1"/>
  <c r="B635" i="1"/>
  <c r="B636" i="1"/>
  <c r="B637" i="1"/>
  <c r="B638" i="1"/>
  <c r="B639" i="1"/>
  <c r="B640" i="1"/>
  <c r="B641" i="1"/>
  <c r="B642" i="1"/>
  <c r="A642" i="1" s="1"/>
  <c r="B643" i="1"/>
  <c r="B644" i="1"/>
  <c r="B645" i="1"/>
  <c r="B646" i="1"/>
  <c r="B647" i="1"/>
  <c r="B648" i="1"/>
  <c r="B649" i="1"/>
  <c r="B650" i="1"/>
  <c r="A650" i="1" s="1"/>
  <c r="B651" i="1"/>
  <c r="B652" i="1"/>
  <c r="B653" i="1"/>
  <c r="B654" i="1"/>
  <c r="B655" i="1"/>
  <c r="B656" i="1"/>
  <c r="B657" i="1"/>
  <c r="B658" i="1"/>
  <c r="A658" i="1" s="1"/>
  <c r="B659" i="1"/>
  <c r="B660" i="1"/>
  <c r="B661" i="1"/>
  <c r="B662" i="1"/>
  <c r="B663" i="1"/>
  <c r="B664" i="1"/>
  <c r="B665" i="1"/>
  <c r="B666" i="1"/>
  <c r="A666" i="1" s="1"/>
  <c r="B667" i="1"/>
  <c r="B668" i="1"/>
  <c r="B669" i="1"/>
  <c r="B670" i="1"/>
  <c r="B671" i="1"/>
  <c r="B672" i="1"/>
  <c r="B673" i="1"/>
  <c r="B674" i="1"/>
  <c r="A674" i="1" s="1"/>
  <c r="B675" i="1"/>
  <c r="B676" i="1"/>
  <c r="B677" i="1"/>
  <c r="B678" i="1"/>
  <c r="B679" i="1"/>
  <c r="B680" i="1"/>
  <c r="B681" i="1"/>
  <c r="B682" i="1"/>
  <c r="A682" i="1" s="1"/>
  <c r="B683" i="1"/>
  <c r="B684" i="1"/>
  <c r="B685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A325" i="1"/>
  <c r="A389" i="1"/>
  <c r="A453" i="1"/>
  <c r="A517" i="1"/>
  <c r="A561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A286" i="1"/>
  <c r="A287" i="1"/>
  <c r="A288" i="1"/>
  <c r="A289" i="1"/>
  <c r="A291" i="1"/>
  <c r="A292" i="1"/>
  <c r="A293" i="1"/>
  <c r="A294" i="1"/>
  <c r="A295" i="1"/>
  <c r="A296" i="1"/>
  <c r="A297" i="1"/>
  <c r="A299" i="1"/>
  <c r="A300" i="1"/>
  <c r="A301" i="1"/>
  <c r="A302" i="1"/>
  <c r="A303" i="1"/>
  <c r="A304" i="1"/>
  <c r="A305" i="1"/>
  <c r="A307" i="1"/>
  <c r="A308" i="1"/>
  <c r="A309" i="1"/>
  <c r="A310" i="1"/>
  <c r="A311" i="1"/>
  <c r="A312" i="1"/>
  <c r="A313" i="1"/>
  <c r="A315" i="1"/>
  <c r="A316" i="1"/>
  <c r="A317" i="1"/>
  <c r="A318" i="1"/>
  <c r="A319" i="1"/>
  <c r="A320" i="1"/>
  <c r="A321" i="1"/>
  <c r="A323" i="1"/>
  <c r="A324" i="1"/>
  <c r="A326" i="1"/>
  <c r="A327" i="1"/>
  <c r="A328" i="1"/>
  <c r="A329" i="1"/>
  <c r="A331" i="1"/>
  <c r="A332" i="1"/>
  <c r="A333" i="1"/>
  <c r="A334" i="1"/>
  <c r="A335" i="1"/>
  <c r="A336" i="1"/>
  <c r="A337" i="1"/>
  <c r="A339" i="1"/>
  <c r="A340" i="1"/>
  <c r="A341" i="1"/>
  <c r="A342" i="1"/>
  <c r="A343" i="1"/>
  <c r="A344" i="1"/>
  <c r="A345" i="1"/>
  <c r="A347" i="1"/>
  <c r="A348" i="1"/>
  <c r="A349" i="1"/>
  <c r="A350" i="1"/>
  <c r="A351" i="1"/>
  <c r="A352" i="1"/>
  <c r="A353" i="1"/>
  <c r="A355" i="1"/>
  <c r="A356" i="1"/>
  <c r="A357" i="1"/>
  <c r="A358" i="1"/>
  <c r="A359" i="1"/>
  <c r="A360" i="1"/>
  <c r="A361" i="1"/>
  <c r="A363" i="1"/>
  <c r="A364" i="1"/>
  <c r="A365" i="1"/>
  <c r="A366" i="1"/>
  <c r="A367" i="1"/>
  <c r="A368" i="1"/>
  <c r="A369" i="1"/>
  <c r="A371" i="1"/>
  <c r="A372" i="1"/>
  <c r="A373" i="1"/>
  <c r="A374" i="1"/>
  <c r="A375" i="1"/>
  <c r="A376" i="1"/>
  <c r="A377" i="1"/>
  <c r="A379" i="1"/>
  <c r="A380" i="1"/>
  <c r="A381" i="1"/>
  <c r="A382" i="1"/>
  <c r="A383" i="1"/>
  <c r="A384" i="1"/>
  <c r="A385" i="1"/>
  <c r="A387" i="1"/>
  <c r="A388" i="1"/>
  <c r="A390" i="1"/>
  <c r="A391" i="1"/>
  <c r="A392" i="1"/>
  <c r="A393" i="1"/>
  <c r="A395" i="1"/>
  <c r="A396" i="1"/>
  <c r="A397" i="1"/>
  <c r="A398" i="1"/>
  <c r="A399" i="1"/>
  <c r="A400" i="1"/>
  <c r="A401" i="1"/>
  <c r="A403" i="1"/>
  <c r="A404" i="1"/>
  <c r="A405" i="1"/>
  <c r="A406" i="1"/>
  <c r="A407" i="1"/>
  <c r="A408" i="1"/>
  <c r="A409" i="1"/>
  <c r="A411" i="1"/>
  <c r="A412" i="1"/>
  <c r="A413" i="1"/>
  <c r="A414" i="1"/>
  <c r="A415" i="1"/>
  <c r="A416" i="1"/>
  <c r="A417" i="1"/>
  <c r="A419" i="1"/>
  <c r="A420" i="1"/>
  <c r="A421" i="1"/>
  <c r="A422" i="1"/>
  <c r="A423" i="1"/>
  <c r="A424" i="1"/>
  <c r="A425" i="1"/>
  <c r="A427" i="1"/>
  <c r="A428" i="1"/>
  <c r="A429" i="1"/>
  <c r="A430" i="1"/>
  <c r="A431" i="1"/>
  <c r="A432" i="1"/>
  <c r="A433" i="1"/>
  <c r="A435" i="1"/>
  <c r="A436" i="1"/>
  <c r="A437" i="1"/>
  <c r="A438" i="1"/>
  <c r="A439" i="1"/>
  <c r="A440" i="1"/>
  <c r="A441" i="1"/>
  <c r="A443" i="1"/>
  <c r="A444" i="1"/>
  <c r="A445" i="1"/>
  <c r="A446" i="1"/>
  <c r="A447" i="1"/>
  <c r="A448" i="1"/>
  <c r="A449" i="1"/>
  <c r="A451" i="1"/>
  <c r="A452" i="1"/>
  <c r="A454" i="1"/>
  <c r="A455" i="1"/>
  <c r="A456" i="1"/>
  <c r="A457" i="1"/>
  <c r="A459" i="1"/>
  <c r="A460" i="1"/>
  <c r="A461" i="1"/>
  <c r="A462" i="1"/>
  <c r="A463" i="1"/>
  <c r="A464" i="1"/>
  <c r="A465" i="1"/>
  <c r="A467" i="1"/>
  <c r="A468" i="1"/>
  <c r="A469" i="1"/>
  <c r="A470" i="1"/>
  <c r="A471" i="1"/>
  <c r="A472" i="1"/>
  <c r="A473" i="1"/>
  <c r="A475" i="1"/>
  <c r="A476" i="1"/>
  <c r="A477" i="1"/>
  <c r="A478" i="1"/>
  <c r="A479" i="1"/>
  <c r="A480" i="1"/>
  <c r="A481" i="1"/>
  <c r="A483" i="1"/>
  <c r="A484" i="1"/>
  <c r="A485" i="1"/>
  <c r="A486" i="1"/>
  <c r="A487" i="1"/>
  <c r="A488" i="1"/>
  <c r="A489" i="1"/>
  <c r="A491" i="1"/>
  <c r="A492" i="1"/>
  <c r="A493" i="1"/>
  <c r="A494" i="1"/>
  <c r="A495" i="1"/>
  <c r="A496" i="1"/>
  <c r="A497" i="1"/>
  <c r="A499" i="1"/>
  <c r="A500" i="1"/>
  <c r="A501" i="1"/>
  <c r="A502" i="1"/>
  <c r="A503" i="1"/>
  <c r="A504" i="1"/>
  <c r="A505" i="1"/>
  <c r="A507" i="1"/>
  <c r="A508" i="1"/>
  <c r="A509" i="1"/>
  <c r="A510" i="1"/>
  <c r="A511" i="1"/>
  <c r="A512" i="1"/>
  <c r="A513" i="1"/>
  <c r="A515" i="1"/>
  <c r="A516" i="1"/>
  <c r="A518" i="1"/>
  <c r="A519" i="1"/>
  <c r="A520" i="1"/>
  <c r="A521" i="1"/>
  <c r="A523" i="1"/>
  <c r="A524" i="1"/>
  <c r="A525" i="1"/>
  <c r="A526" i="1"/>
  <c r="A527" i="1"/>
  <c r="A528" i="1"/>
  <c r="A529" i="1"/>
  <c r="A531" i="1"/>
  <c r="A532" i="1"/>
  <c r="A533" i="1"/>
  <c r="A534" i="1"/>
  <c r="A535" i="1"/>
  <c r="A536" i="1"/>
  <c r="A537" i="1"/>
  <c r="A539" i="1"/>
  <c r="A540" i="1"/>
  <c r="A541" i="1"/>
  <c r="A542" i="1"/>
  <c r="A543" i="1"/>
  <c r="A544" i="1"/>
  <c r="A545" i="1"/>
  <c r="A547" i="1"/>
  <c r="A548" i="1"/>
  <c r="A549" i="1"/>
  <c r="A550" i="1"/>
  <c r="A551" i="1"/>
  <c r="A552" i="1"/>
  <c r="A553" i="1"/>
  <c r="A555" i="1"/>
  <c r="A556" i="1"/>
  <c r="A557" i="1"/>
  <c r="A558" i="1"/>
  <c r="A559" i="1"/>
  <c r="A560" i="1"/>
  <c r="A563" i="1"/>
  <c r="A564" i="1"/>
  <c r="A565" i="1"/>
  <c r="A566" i="1"/>
  <c r="A567" i="1"/>
  <c r="A568" i="1"/>
  <c r="A569" i="1"/>
  <c r="A571" i="1"/>
  <c r="A572" i="1"/>
  <c r="A573" i="1"/>
  <c r="A574" i="1"/>
  <c r="A575" i="1"/>
  <c r="A576" i="1"/>
  <c r="A577" i="1"/>
  <c r="A579" i="1"/>
  <c r="A580" i="1"/>
  <c r="A581" i="1"/>
  <c r="A582" i="1"/>
  <c r="A583" i="1"/>
  <c r="A584" i="1"/>
  <c r="A585" i="1"/>
  <c r="A587" i="1"/>
  <c r="A588" i="1"/>
  <c r="A589" i="1"/>
  <c r="A590" i="1"/>
  <c r="A591" i="1"/>
  <c r="A592" i="1"/>
  <c r="A593" i="1"/>
  <c r="A595" i="1"/>
  <c r="A596" i="1"/>
  <c r="A597" i="1"/>
  <c r="A598" i="1"/>
  <c r="A599" i="1"/>
  <c r="A600" i="1"/>
  <c r="A601" i="1"/>
  <c r="A603" i="1"/>
  <c r="A604" i="1"/>
  <c r="A605" i="1"/>
  <c r="A606" i="1"/>
  <c r="A607" i="1"/>
  <c r="A608" i="1"/>
  <c r="A609" i="1"/>
  <c r="A611" i="1"/>
  <c r="A612" i="1"/>
  <c r="A613" i="1"/>
  <c r="A614" i="1"/>
  <c r="A615" i="1"/>
  <c r="A616" i="1"/>
  <c r="A617" i="1"/>
  <c r="A619" i="1"/>
  <c r="A620" i="1"/>
  <c r="A621" i="1"/>
  <c r="A622" i="1"/>
  <c r="A623" i="1"/>
  <c r="A624" i="1"/>
  <c r="A625" i="1"/>
  <c r="A627" i="1"/>
  <c r="A628" i="1"/>
  <c r="A629" i="1"/>
  <c r="A630" i="1"/>
  <c r="A631" i="1"/>
  <c r="A632" i="1"/>
  <c r="A633" i="1"/>
  <c r="A635" i="1"/>
  <c r="A636" i="1"/>
  <c r="A637" i="1"/>
  <c r="A638" i="1"/>
  <c r="A639" i="1"/>
  <c r="A640" i="1"/>
  <c r="A641" i="1"/>
  <c r="A643" i="1"/>
  <c r="A644" i="1"/>
  <c r="A645" i="1"/>
  <c r="A646" i="1"/>
  <c r="A647" i="1"/>
  <c r="A648" i="1"/>
  <c r="A649" i="1"/>
  <c r="A651" i="1"/>
  <c r="A652" i="1"/>
  <c r="A653" i="1"/>
  <c r="A654" i="1"/>
  <c r="A655" i="1"/>
  <c r="A656" i="1"/>
  <c r="A657" i="1"/>
  <c r="A659" i="1"/>
  <c r="A660" i="1"/>
  <c r="A661" i="1"/>
  <c r="A662" i="1"/>
  <c r="A663" i="1"/>
  <c r="A664" i="1"/>
  <c r="A665" i="1"/>
  <c r="A667" i="1"/>
  <c r="A668" i="1"/>
  <c r="A669" i="1"/>
  <c r="A670" i="1"/>
  <c r="A671" i="1"/>
  <c r="A672" i="1"/>
  <c r="A673" i="1"/>
  <c r="A675" i="1"/>
  <c r="A676" i="1"/>
  <c r="A677" i="1"/>
  <c r="A678" i="1"/>
  <c r="A679" i="1"/>
  <c r="A680" i="1"/>
  <c r="A681" i="1"/>
  <c r="A683" i="1"/>
  <c r="A684" i="1"/>
  <c r="A685" i="1"/>
  <c r="F672" i="1"/>
  <c r="F673" i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286" i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F188" i="1"/>
  <c r="F189" i="1" s="1"/>
  <c r="A188" i="1"/>
  <c r="C188" i="1"/>
  <c r="F187" i="1"/>
  <c r="A187" i="1" s="1"/>
  <c r="C187" i="1"/>
  <c r="E186" i="1"/>
  <c r="B186" i="1" s="1"/>
  <c r="A186" i="1" s="1"/>
  <c r="C186" i="1"/>
  <c r="E177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A105" i="1" s="1"/>
  <c r="C106" i="1"/>
  <c r="C107" i="1"/>
  <c r="C108" i="1"/>
  <c r="C109" i="1"/>
  <c r="C110" i="1"/>
  <c r="C111" i="1"/>
  <c r="C112" i="1"/>
  <c r="C113" i="1"/>
  <c r="A113" i="1" s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A129" i="1" s="1"/>
  <c r="C130" i="1"/>
  <c r="C131" i="1"/>
  <c r="C132" i="1"/>
  <c r="C133" i="1"/>
  <c r="C134" i="1"/>
  <c r="C135" i="1"/>
  <c r="C136" i="1"/>
  <c r="C137" i="1"/>
  <c r="A137" i="1" s="1"/>
  <c r="C138" i="1"/>
  <c r="C139" i="1"/>
  <c r="C140" i="1"/>
  <c r="C141" i="1"/>
  <c r="C142" i="1"/>
  <c r="C143" i="1"/>
  <c r="C144" i="1"/>
  <c r="C145" i="1"/>
  <c r="A145" i="1" s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A161" i="1" s="1"/>
  <c r="C162" i="1"/>
  <c r="C163" i="1"/>
  <c r="C164" i="1"/>
  <c r="C165" i="1"/>
  <c r="C166" i="1"/>
  <c r="C167" i="1"/>
  <c r="C168" i="1"/>
  <c r="C169" i="1"/>
  <c r="A169" i="1" s="1"/>
  <c r="C170" i="1"/>
  <c r="C171" i="1"/>
  <c r="C172" i="1"/>
  <c r="C173" i="1"/>
  <c r="C174" i="1"/>
  <c r="C175" i="1"/>
  <c r="C176" i="1"/>
  <c r="C177" i="1"/>
  <c r="A177" i="1" s="1"/>
  <c r="C78" i="1"/>
  <c r="A109" i="1"/>
  <c r="A117" i="1"/>
  <c r="A125" i="1"/>
  <c r="A133" i="1"/>
  <c r="A141" i="1"/>
  <c r="A149" i="1"/>
  <c r="A165" i="1"/>
  <c r="E178" i="1"/>
  <c r="A176" i="1"/>
  <c r="N31" i="1"/>
  <c r="B38" i="1"/>
  <c r="A38" i="1" s="1"/>
  <c r="B39" i="1"/>
  <c r="A39" i="1" s="1"/>
  <c r="B46" i="1"/>
  <c r="A46" i="1" s="1"/>
  <c r="B47" i="1"/>
  <c r="A47" i="1" s="1"/>
  <c r="B54" i="1"/>
  <c r="A54" i="1" s="1"/>
  <c r="B55" i="1"/>
  <c r="A55" i="1" s="1"/>
  <c r="B32" i="1"/>
  <c r="E33" i="1"/>
  <c r="B33" i="1" s="1"/>
  <c r="A33" i="1" s="1"/>
  <c r="E34" i="1"/>
  <c r="B34" i="1" s="1"/>
  <c r="A34" i="1" s="1"/>
  <c r="E35" i="1"/>
  <c r="B35" i="1" s="1"/>
  <c r="A35" i="1" s="1"/>
  <c r="E36" i="1"/>
  <c r="B36" i="1" s="1"/>
  <c r="A36" i="1" s="1"/>
  <c r="E37" i="1"/>
  <c r="B37" i="1" s="1"/>
  <c r="A37" i="1" s="1"/>
  <c r="E38" i="1"/>
  <c r="E39" i="1"/>
  <c r="E40" i="1"/>
  <c r="B40" i="1" s="1"/>
  <c r="A40" i="1" s="1"/>
  <c r="E41" i="1"/>
  <c r="B41" i="1" s="1"/>
  <c r="A41" i="1" s="1"/>
  <c r="E42" i="1"/>
  <c r="B42" i="1" s="1"/>
  <c r="A42" i="1" s="1"/>
  <c r="E43" i="1"/>
  <c r="B43" i="1" s="1"/>
  <c r="A43" i="1" s="1"/>
  <c r="E44" i="1"/>
  <c r="B44" i="1" s="1"/>
  <c r="A44" i="1" s="1"/>
  <c r="E45" i="1"/>
  <c r="B45" i="1" s="1"/>
  <c r="A45" i="1" s="1"/>
  <c r="E46" i="1"/>
  <c r="E47" i="1"/>
  <c r="E48" i="1"/>
  <c r="B48" i="1" s="1"/>
  <c r="A48" i="1" s="1"/>
  <c r="E49" i="1"/>
  <c r="B49" i="1" s="1"/>
  <c r="A49" i="1" s="1"/>
  <c r="E50" i="1"/>
  <c r="B50" i="1" s="1"/>
  <c r="A50" i="1" s="1"/>
  <c r="E51" i="1"/>
  <c r="B51" i="1" s="1"/>
  <c r="A51" i="1" s="1"/>
  <c r="E52" i="1"/>
  <c r="B52" i="1" s="1"/>
  <c r="A52" i="1" s="1"/>
  <c r="E53" i="1"/>
  <c r="B53" i="1" s="1"/>
  <c r="A53" i="1" s="1"/>
  <c r="E54" i="1"/>
  <c r="E55" i="1"/>
  <c r="E56" i="1"/>
  <c r="B56" i="1" s="1"/>
  <c r="A56" i="1" s="1"/>
  <c r="B31" i="1"/>
  <c r="A31" i="1" s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31" i="1"/>
  <c r="H177" i="1"/>
  <c r="A138" i="1"/>
  <c r="A152" i="1"/>
  <c r="A162" i="1"/>
  <c r="A128" i="1"/>
  <c r="A130" i="1"/>
  <c r="A135" i="1"/>
  <c r="A136" i="1"/>
  <c r="A143" i="1"/>
  <c r="A144" i="1"/>
  <c r="A146" i="1"/>
  <c r="A151" i="1"/>
  <c r="A153" i="1"/>
  <c r="A154" i="1"/>
  <c r="A157" i="1"/>
  <c r="A159" i="1"/>
  <c r="A160" i="1"/>
  <c r="A167" i="1"/>
  <c r="A168" i="1"/>
  <c r="A170" i="1"/>
  <c r="A173" i="1"/>
  <c r="A175" i="1"/>
  <c r="F176" i="1"/>
  <c r="F177" i="1" s="1"/>
  <c r="F173" i="1"/>
  <c r="F174" i="1" s="1"/>
  <c r="F175" i="1" s="1"/>
  <c r="F163" i="1"/>
  <c r="F164" i="1" s="1"/>
  <c r="F165" i="1" s="1"/>
  <c r="F166" i="1" s="1"/>
  <c r="F167" i="1" s="1"/>
  <c r="F168" i="1" s="1"/>
  <c r="F169" i="1" s="1"/>
  <c r="F170" i="1" s="1"/>
  <c r="F171" i="1" s="1"/>
  <c r="F172" i="1" s="1"/>
  <c r="F128" i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E78" i="1"/>
  <c r="A104" i="1"/>
  <c r="A111" i="1"/>
  <c r="A112" i="1"/>
  <c r="A119" i="1"/>
  <c r="A120" i="1"/>
  <c r="A121" i="1"/>
  <c r="A122" i="1"/>
  <c r="A123" i="1"/>
  <c r="A127" i="1"/>
  <c r="F122" i="1"/>
  <c r="F123" i="1" s="1"/>
  <c r="F124" i="1" s="1"/>
  <c r="F125" i="1" s="1"/>
  <c r="F126" i="1" s="1"/>
  <c r="F127" i="1" s="1"/>
  <c r="F104" i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79" i="1"/>
  <c r="A79" i="1" s="1"/>
  <c r="F48" i="1"/>
  <c r="F49" i="1" s="1"/>
  <c r="F50" i="1" s="1"/>
  <c r="F51" i="1" s="1"/>
  <c r="F52" i="1" s="1"/>
  <c r="F53" i="1" s="1"/>
  <c r="F54" i="1" s="1"/>
  <c r="F55" i="1" s="1"/>
  <c r="F56" i="1" s="1"/>
  <c r="F33" i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32" i="1"/>
  <c r="J31" i="1"/>
  <c r="B22" i="1"/>
  <c r="D23" i="1"/>
  <c r="D24" i="1"/>
  <c r="D25" i="1"/>
  <c r="D26" i="1"/>
  <c r="D22" i="1"/>
  <c r="B23" i="1"/>
  <c r="B24" i="1"/>
  <c r="B25" i="1"/>
  <c r="B26" i="1"/>
  <c r="A554" i="1" l="1"/>
  <c r="A546" i="1"/>
  <c r="A538" i="1"/>
  <c r="A530" i="1"/>
  <c r="A522" i="1"/>
  <c r="A514" i="1"/>
  <c r="A506" i="1"/>
  <c r="A498" i="1"/>
  <c r="A490" i="1"/>
  <c r="A482" i="1"/>
  <c r="A474" i="1"/>
  <c r="A466" i="1"/>
  <c r="A458" i="1"/>
  <c r="A450" i="1"/>
  <c r="A442" i="1"/>
  <c r="A434" i="1"/>
  <c r="A426" i="1"/>
  <c r="A418" i="1"/>
  <c r="A410" i="1"/>
  <c r="A402" i="1"/>
  <c r="A394" i="1"/>
  <c r="A386" i="1"/>
  <c r="A378" i="1"/>
  <c r="A370" i="1"/>
  <c r="A362" i="1"/>
  <c r="A354" i="1"/>
  <c r="A346" i="1"/>
  <c r="A338" i="1"/>
  <c r="A330" i="1"/>
  <c r="A322" i="1"/>
  <c r="A314" i="1"/>
  <c r="A306" i="1"/>
  <c r="A298" i="1"/>
  <c r="A290" i="1"/>
  <c r="A189" i="1"/>
  <c r="F190" i="1"/>
  <c r="A110" i="1"/>
  <c r="A118" i="1"/>
  <c r="A174" i="1"/>
  <c r="A158" i="1"/>
  <c r="A166" i="1"/>
  <c r="A150" i="1"/>
  <c r="A142" i="1"/>
  <c r="A134" i="1"/>
  <c r="A172" i="1"/>
  <c r="A164" i="1"/>
  <c r="A156" i="1"/>
  <c r="A148" i="1"/>
  <c r="A140" i="1"/>
  <c r="A132" i="1"/>
  <c r="A171" i="1"/>
  <c r="A163" i="1"/>
  <c r="A155" i="1"/>
  <c r="A147" i="1"/>
  <c r="A139" i="1"/>
  <c r="A131" i="1"/>
  <c r="A126" i="1"/>
  <c r="A107" i="1"/>
  <c r="A108" i="1"/>
  <c r="A116" i="1"/>
  <c r="A124" i="1"/>
  <c r="A115" i="1"/>
  <c r="A106" i="1"/>
  <c r="A114" i="1"/>
  <c r="B78" i="1"/>
  <c r="A78" i="1" s="1"/>
  <c r="F80" i="1"/>
  <c r="E4" i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E5" i="1"/>
  <c r="E6" i="1"/>
  <c r="E7" i="1"/>
  <c r="E8" i="1"/>
  <c r="E9" i="1"/>
  <c r="E10" i="1"/>
  <c r="E11" i="1"/>
  <c r="E12" i="1"/>
  <c r="E13" i="1"/>
  <c r="E14" i="1"/>
  <c r="F191" i="1" l="1"/>
  <c r="A190" i="1"/>
  <c r="F81" i="1"/>
  <c r="A80" i="1"/>
  <c r="A191" i="1" l="1"/>
  <c r="F192" i="1"/>
  <c r="F82" i="1"/>
  <c r="A81" i="1"/>
  <c r="A192" i="1" l="1"/>
  <c r="F193" i="1"/>
  <c r="A82" i="1"/>
  <c r="F83" i="1"/>
  <c r="A193" i="1" l="1"/>
  <c r="F194" i="1"/>
  <c r="A83" i="1"/>
  <c r="F84" i="1"/>
  <c r="A194" i="1" l="1"/>
  <c r="F195" i="1"/>
  <c r="A84" i="1"/>
  <c r="F85" i="1"/>
  <c r="F196" i="1" l="1"/>
  <c r="A195" i="1"/>
  <c r="F86" i="1"/>
  <c r="A85" i="1"/>
  <c r="F197" i="1" l="1"/>
  <c r="A196" i="1"/>
  <c r="F87" i="1"/>
  <c r="A86" i="1"/>
  <c r="A197" i="1" l="1"/>
  <c r="F198" i="1"/>
  <c r="A87" i="1"/>
  <c r="F88" i="1"/>
  <c r="F199" i="1" l="1"/>
  <c r="A198" i="1"/>
  <c r="F89" i="1"/>
  <c r="A88" i="1"/>
  <c r="F200" i="1" l="1"/>
  <c r="A199" i="1"/>
  <c r="F90" i="1"/>
  <c r="A89" i="1"/>
  <c r="A200" i="1" l="1"/>
  <c r="F201" i="1"/>
  <c r="A90" i="1"/>
  <c r="F91" i="1"/>
  <c r="A201" i="1" l="1"/>
  <c r="F202" i="1"/>
  <c r="A91" i="1"/>
  <c r="F92" i="1"/>
  <c r="A202" i="1" l="1"/>
  <c r="F203" i="1"/>
  <c r="A92" i="1"/>
  <c r="F93" i="1"/>
  <c r="A203" i="1" l="1"/>
  <c r="F204" i="1"/>
  <c r="A93" i="1"/>
  <c r="F94" i="1"/>
  <c r="F205" i="1" l="1"/>
  <c r="A204" i="1"/>
  <c r="F95" i="1"/>
  <c r="A94" i="1"/>
  <c r="A205" i="1" l="1"/>
  <c r="F206" i="1"/>
  <c r="A95" i="1"/>
  <c r="F96" i="1"/>
  <c r="F207" i="1" l="1"/>
  <c r="A206" i="1"/>
  <c r="F97" i="1"/>
  <c r="A96" i="1"/>
  <c r="F208" i="1" l="1"/>
  <c r="A207" i="1"/>
  <c r="F98" i="1"/>
  <c r="A97" i="1"/>
  <c r="A208" i="1" l="1"/>
  <c r="F209" i="1"/>
  <c r="A98" i="1"/>
  <c r="F99" i="1"/>
  <c r="F210" i="1" l="1"/>
  <c r="A209" i="1"/>
  <c r="A99" i="1"/>
  <c r="F100" i="1"/>
  <c r="A210" i="1" l="1"/>
  <c r="F211" i="1"/>
  <c r="A100" i="1"/>
  <c r="F101" i="1"/>
  <c r="A211" i="1" l="1"/>
  <c r="F212" i="1"/>
  <c r="A101" i="1"/>
  <c r="F102" i="1"/>
  <c r="F213" i="1" l="1"/>
  <c r="A212" i="1"/>
  <c r="F103" i="1"/>
  <c r="A103" i="1" s="1"/>
  <c r="A102" i="1"/>
  <c r="H31" i="1"/>
  <c r="A213" i="1" l="1"/>
  <c r="F214" i="1"/>
  <c r="F215" i="1" l="1"/>
  <c r="A214" i="1"/>
  <c r="F216" i="1" l="1"/>
  <c r="A215" i="1"/>
  <c r="A216" i="1" l="1"/>
  <c r="F217" i="1"/>
  <c r="F218" i="1" l="1"/>
  <c r="A217" i="1"/>
  <c r="A218" i="1" l="1"/>
  <c r="F219" i="1"/>
  <c r="A219" i="1" l="1"/>
  <c r="F220" i="1"/>
  <c r="F221" i="1" l="1"/>
  <c r="A220" i="1"/>
  <c r="A221" i="1" l="1"/>
  <c r="F222" i="1"/>
  <c r="F223" i="1" l="1"/>
  <c r="A222" i="1"/>
  <c r="F224" i="1" l="1"/>
  <c r="A223" i="1"/>
  <c r="A224" i="1" l="1"/>
  <c r="F225" i="1"/>
  <c r="F226" i="1" l="1"/>
  <c r="A225" i="1"/>
  <c r="A226" i="1" l="1"/>
  <c r="F227" i="1"/>
  <c r="A227" i="1" l="1"/>
  <c r="F228" i="1"/>
  <c r="F229" i="1" l="1"/>
  <c r="A228" i="1"/>
  <c r="A229" i="1" l="1"/>
  <c r="F230" i="1"/>
  <c r="F231" i="1" l="1"/>
  <c r="A230" i="1"/>
  <c r="F232" i="1" l="1"/>
  <c r="A231" i="1"/>
  <c r="A232" i="1" l="1"/>
  <c r="F233" i="1"/>
  <c r="F234" i="1" l="1"/>
  <c r="A233" i="1"/>
  <c r="A234" i="1" l="1"/>
  <c r="F235" i="1"/>
  <c r="A235" i="1" l="1"/>
  <c r="F236" i="1"/>
  <c r="F237" i="1" l="1"/>
  <c r="A236" i="1"/>
  <c r="A237" i="1" l="1"/>
  <c r="F238" i="1"/>
  <c r="F239" i="1" l="1"/>
  <c r="A238" i="1"/>
  <c r="A239" i="1" l="1"/>
  <c r="F240" i="1"/>
  <c r="A240" i="1" l="1"/>
  <c r="F241" i="1"/>
  <c r="F242" i="1" l="1"/>
  <c r="A241" i="1"/>
  <c r="A242" i="1" l="1"/>
  <c r="F243" i="1"/>
  <c r="A243" i="1" l="1"/>
  <c r="F244" i="1"/>
  <c r="F245" i="1" l="1"/>
  <c r="A244" i="1"/>
  <c r="A245" i="1" l="1"/>
  <c r="F246" i="1"/>
  <c r="F247" i="1" l="1"/>
  <c r="A246" i="1"/>
  <c r="F248" i="1" l="1"/>
  <c r="A247" i="1"/>
  <c r="A248" i="1" l="1"/>
  <c r="F249" i="1"/>
  <c r="F250" i="1" l="1"/>
  <c r="A249" i="1"/>
  <c r="A250" i="1" l="1"/>
  <c r="F251" i="1"/>
  <c r="A251" i="1" l="1"/>
  <c r="F252" i="1"/>
  <c r="F253" i="1" l="1"/>
  <c r="A252" i="1"/>
  <c r="A253" i="1" l="1"/>
  <c r="F254" i="1"/>
  <c r="A254" i="1" l="1"/>
  <c r="F255" i="1"/>
  <c r="F256" i="1" l="1"/>
  <c r="A255" i="1"/>
  <c r="A256" i="1" l="1"/>
  <c r="F257" i="1"/>
  <c r="F258" i="1" l="1"/>
  <c r="A257" i="1"/>
  <c r="A258" i="1" l="1"/>
  <c r="F259" i="1"/>
  <c r="A259" i="1" l="1"/>
  <c r="F260" i="1"/>
  <c r="F261" i="1" l="1"/>
  <c r="A260" i="1"/>
  <c r="A261" i="1" l="1"/>
  <c r="F262" i="1"/>
  <c r="F263" i="1" l="1"/>
  <c r="A262" i="1"/>
  <c r="F264" i="1" l="1"/>
  <c r="A263" i="1"/>
  <c r="A264" i="1" l="1"/>
  <c r="F265" i="1"/>
  <c r="F266" i="1" l="1"/>
  <c r="A265" i="1"/>
  <c r="A266" i="1" l="1"/>
  <c r="F267" i="1"/>
  <c r="A267" i="1" l="1"/>
  <c r="F268" i="1"/>
  <c r="F269" i="1" l="1"/>
  <c r="A268" i="1"/>
  <c r="A269" i="1" l="1"/>
  <c r="F270" i="1"/>
  <c r="A270" i="1" l="1"/>
  <c r="F271" i="1"/>
  <c r="F272" i="1" l="1"/>
  <c r="A271" i="1"/>
  <c r="A272" i="1" l="1"/>
  <c r="F273" i="1"/>
  <c r="F274" i="1" l="1"/>
  <c r="A273" i="1"/>
  <c r="A274" i="1" l="1"/>
  <c r="F275" i="1"/>
  <c r="A275" i="1" l="1"/>
  <c r="F276" i="1"/>
  <c r="F277" i="1" l="1"/>
  <c r="A276" i="1"/>
  <c r="A277" i="1" l="1"/>
  <c r="F278" i="1"/>
  <c r="F279" i="1" l="1"/>
  <c r="A278" i="1"/>
  <c r="A279" i="1" l="1"/>
  <c r="F280" i="1"/>
  <c r="A280" i="1" l="1"/>
  <c r="F281" i="1"/>
  <c r="F282" i="1" l="1"/>
  <c r="A281" i="1"/>
  <c r="A282" i="1" l="1"/>
  <c r="F283" i="1"/>
  <c r="A283" i="1" l="1"/>
  <c r="F284" i="1"/>
  <c r="F285" i="1" l="1"/>
  <c r="A284" i="1"/>
  <c r="H285" i="1" l="1"/>
  <c r="A285" i="1"/>
</calcChain>
</file>

<file path=xl/sharedStrings.xml><?xml version="1.0" encoding="utf-8"?>
<sst xmlns="http://schemas.openxmlformats.org/spreadsheetml/2006/main" count="29" uniqueCount="18">
  <si>
    <t>Numerator b</t>
  </si>
  <si>
    <t>Denomerator a</t>
  </si>
  <si>
    <t>scaled by 2^16</t>
  </si>
  <si>
    <t>scaled by 2^50</t>
  </si>
  <si>
    <t>Denomerator scaled by 2^2</t>
  </si>
  <si>
    <t>Numerator : b_Coefficients</t>
  </si>
  <si>
    <t xml:space="preserve"> Scaled by 2^16</t>
  </si>
  <si>
    <t>Denomerator: a_Coefficients</t>
  </si>
  <si>
    <t xml:space="preserve">  F(output_of_sinusoid)</t>
  </si>
  <si>
    <t>N</t>
  </si>
  <si>
    <t>Phase_increment</t>
  </si>
  <si>
    <t>Phase Increment</t>
  </si>
  <si>
    <r>
      <t>[Phase_increment/(2</t>
    </r>
    <r>
      <rPr>
        <b/>
        <vertAlign val="superscript"/>
        <sz val="10"/>
        <color theme="1"/>
        <rFont val="Arial Unicode MS"/>
        <family val="2"/>
      </rPr>
      <t>N</t>
    </r>
    <r>
      <rPr>
        <b/>
        <sz val="10"/>
        <color theme="1"/>
        <rFont val="Arial Unicode MS"/>
        <family val="2"/>
      </rPr>
      <t>)] * F(clk)</t>
    </r>
  </si>
  <si>
    <t>Clk</t>
  </si>
  <si>
    <t>Fout</t>
  </si>
  <si>
    <t>Hex</t>
  </si>
  <si>
    <t xml:space="preserve">step </t>
  </si>
  <si>
    <t xml:space="preserve">  F(output_of_sinusoid)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</si>
</sst>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b/>
      <vertAlign val="superscript"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9113-FB5E-4A92-8A70-4503179E2CBF}">
  <dimension ref="A3:N685"/>
  <sheetViews>
    <sheetView topLeftCell="A245" workbookViewId="0">
      <selection activeCell="F260" sqref="F260"/>
    </sheetView>
  </sheetViews>
  <sheetFormatPr defaultRowHeight="15" x14ac:dyDescent="0.25"/>
  <cols>
    <col min="1" max="1" width="36.42578125" customWidth="1"/>
    <col min="2" max="2" width="33.140625" customWidth="1"/>
    <col min="3" max="3" width="25.85546875" customWidth="1"/>
    <col min="4" max="4" width="25.140625" customWidth="1"/>
    <col min="5" max="5" width="16.28515625" customWidth="1"/>
    <col min="6" max="6" width="8.7109375" style="1"/>
    <col min="8" max="8" width="13.85546875" customWidth="1"/>
    <col min="9" max="9" width="16.42578125" customWidth="1"/>
    <col min="10" max="10" width="15.28515625" customWidth="1"/>
  </cols>
  <sheetData>
    <row r="3" spans="1:5" x14ac:dyDescent="0.25">
      <c r="A3" s="1" t="s">
        <v>0</v>
      </c>
      <c r="B3" t="s">
        <v>3</v>
      </c>
      <c r="D3" t="s">
        <v>1</v>
      </c>
      <c r="E3" t="s">
        <v>2</v>
      </c>
    </row>
    <row r="4" spans="1:5" x14ac:dyDescent="0.25">
      <c r="A4" s="2">
        <v>7.3165565337866199E-12</v>
      </c>
      <c r="B4">
        <f>ROUND(A4*2^50,0)</f>
        <v>8238</v>
      </c>
      <c r="C4">
        <f t="shared" ref="C4:C14" si="0">B4*2^16</f>
        <v>539885568</v>
      </c>
      <c r="D4">
        <v>1</v>
      </c>
      <c r="E4">
        <f>ROUND(D4*2^16,0)</f>
        <v>65536</v>
      </c>
    </row>
    <row r="5" spans="1:5" x14ac:dyDescent="0.25">
      <c r="A5" s="1">
        <v>7.3165565337866196E-11</v>
      </c>
      <c r="B5">
        <f>ROUND(A5*2^50,0)</f>
        <v>82377</v>
      </c>
      <c r="C5">
        <f t="shared" si="0"/>
        <v>5398659072</v>
      </c>
      <c r="D5">
        <v>-8.9657143995614899</v>
      </c>
      <c r="E5">
        <f t="shared" ref="E5:E14" si="1">ROUND(D5*2^16,0)</f>
        <v>-587577</v>
      </c>
    </row>
    <row r="6" spans="1:5" x14ac:dyDescent="0.25">
      <c r="A6" s="1">
        <v>3.29245044020398E-10</v>
      </c>
      <c r="B6">
        <f t="shared" ref="B6:B14" si="2">ROUND(A6*2^50,0)</f>
        <v>370697</v>
      </c>
      <c r="C6">
        <f t="shared" si="0"/>
        <v>24293998592</v>
      </c>
      <c r="D6">
        <v>36.221645679138902</v>
      </c>
      <c r="E6">
        <f t="shared" si="1"/>
        <v>2373822</v>
      </c>
    </row>
    <row r="7" spans="1:5" x14ac:dyDescent="0.25">
      <c r="A7" s="1">
        <v>8.7798678405439404E-10</v>
      </c>
      <c r="B7">
        <f t="shared" si="2"/>
        <v>988525</v>
      </c>
      <c r="C7">
        <f t="shared" si="0"/>
        <v>64783974400</v>
      </c>
      <c r="D7">
        <v>-86.830912858627499</v>
      </c>
      <c r="E7">
        <f t="shared" si="1"/>
        <v>-5690551</v>
      </c>
    </row>
    <row r="8" spans="1:5" x14ac:dyDescent="0.25">
      <c r="A8" s="1">
        <v>1.5364768720951899E-9</v>
      </c>
      <c r="B8">
        <f t="shared" si="2"/>
        <v>1729919</v>
      </c>
      <c r="C8">
        <f t="shared" si="0"/>
        <v>113371971584</v>
      </c>
      <c r="D8">
        <v>136.77244173312101</v>
      </c>
      <c r="E8">
        <f t="shared" si="1"/>
        <v>8963519</v>
      </c>
    </row>
    <row r="9" spans="1:5" x14ac:dyDescent="0.25">
      <c r="A9" s="1">
        <v>1.84377224651422E-9</v>
      </c>
      <c r="B9">
        <f t="shared" si="2"/>
        <v>2075903</v>
      </c>
      <c r="C9">
        <f t="shared" si="0"/>
        <v>136046379008</v>
      </c>
      <c r="D9">
        <v>-147.91011781015101</v>
      </c>
      <c r="E9">
        <f t="shared" si="1"/>
        <v>-9693437</v>
      </c>
    </row>
    <row r="10" spans="1:5" x14ac:dyDescent="0.25">
      <c r="A10" s="1">
        <v>1.5364768720951899E-9</v>
      </c>
      <c r="B10">
        <f t="shared" si="2"/>
        <v>1729919</v>
      </c>
      <c r="C10">
        <f t="shared" si="0"/>
        <v>113371971584</v>
      </c>
      <c r="D10">
        <v>111.211739994029</v>
      </c>
      <c r="E10">
        <f t="shared" si="1"/>
        <v>7288373</v>
      </c>
    </row>
    <row r="11" spans="1:5" x14ac:dyDescent="0.25">
      <c r="A11" s="1">
        <v>8.7798678405439404E-10</v>
      </c>
      <c r="B11">
        <f t="shared" si="2"/>
        <v>988525</v>
      </c>
      <c r="C11">
        <f t="shared" si="0"/>
        <v>64783974400</v>
      </c>
      <c r="D11">
        <v>-57.404713700213399</v>
      </c>
      <c r="E11">
        <f t="shared" si="1"/>
        <v>-3762075</v>
      </c>
    </row>
    <row r="12" spans="1:5" x14ac:dyDescent="0.25">
      <c r="A12" s="1">
        <v>3.29245044020398E-10</v>
      </c>
      <c r="B12">
        <f t="shared" si="2"/>
        <v>370697</v>
      </c>
      <c r="C12">
        <f t="shared" si="0"/>
        <v>24293998592</v>
      </c>
      <c r="D12">
        <v>19.467069875057501</v>
      </c>
      <c r="E12">
        <f t="shared" si="1"/>
        <v>1275794</v>
      </c>
    </row>
    <row r="13" spans="1:5" x14ac:dyDescent="0.25">
      <c r="A13" s="1">
        <v>7.3165565337866196E-11</v>
      </c>
      <c r="B13">
        <f t="shared" si="2"/>
        <v>82377</v>
      </c>
      <c r="C13">
        <f t="shared" si="0"/>
        <v>5398659072</v>
      </c>
      <c r="D13">
        <v>-3.91636546743075</v>
      </c>
      <c r="E13">
        <f t="shared" si="1"/>
        <v>-256663</v>
      </c>
    </row>
    <row r="14" spans="1:5" x14ac:dyDescent="0.25">
      <c r="A14" s="1">
        <v>7.3165565337866199E-12</v>
      </c>
      <c r="B14">
        <f t="shared" si="2"/>
        <v>8238</v>
      </c>
      <c r="C14">
        <f t="shared" si="0"/>
        <v>539885568</v>
      </c>
      <c r="D14">
        <v>0.35492696212930303</v>
      </c>
      <c r="E14">
        <f t="shared" si="1"/>
        <v>23260</v>
      </c>
    </row>
    <row r="16" spans="1:5" x14ac:dyDescent="0.25">
      <c r="A16" s="3"/>
    </row>
    <row r="21" spans="1:14" x14ac:dyDescent="0.25">
      <c r="A21" s="5" t="s">
        <v>5</v>
      </c>
      <c r="B21" s="6" t="s">
        <v>6</v>
      </c>
      <c r="C21" s="5" t="s">
        <v>7</v>
      </c>
      <c r="D21" s="7" t="s">
        <v>4</v>
      </c>
    </row>
    <row r="22" spans="1:14" x14ac:dyDescent="0.25">
      <c r="A22" s="4">
        <v>2.3194228140305801E-4</v>
      </c>
      <c r="B22" s="4">
        <f>ROUND(A22*2^16,0)</f>
        <v>15</v>
      </c>
      <c r="C22" s="4">
        <v>1</v>
      </c>
      <c r="D22" s="4">
        <f>ROUND(C22*2^4,0)</f>
        <v>16</v>
      </c>
    </row>
    <row r="23" spans="1:14" x14ac:dyDescent="0.25">
      <c r="A23" s="4">
        <v>9.2776912561223204E-4</v>
      </c>
      <c r="B23" s="4">
        <f>ROUND(A23*2^16,0)</f>
        <v>61</v>
      </c>
      <c r="C23" s="4">
        <v>-3.3010495526974499</v>
      </c>
      <c r="D23" s="4">
        <f>ROUND(C23*2^4,0)</f>
        <v>-53</v>
      </c>
    </row>
    <row r="24" spans="1:14" x14ac:dyDescent="0.25">
      <c r="A24" s="4">
        <v>1.39165368841834E-3</v>
      </c>
      <c r="B24" s="4">
        <f>ROUND(A24*2^16,0)</f>
        <v>91</v>
      </c>
      <c r="C24" s="4">
        <v>4.13718972866491</v>
      </c>
      <c r="D24" s="4">
        <f>ROUND(C24*2^4,0)</f>
        <v>66</v>
      </c>
    </row>
    <row r="25" spans="1:14" x14ac:dyDescent="0.25">
      <c r="A25" s="4">
        <v>9.2776912561223204E-4</v>
      </c>
      <c r="B25" s="4">
        <f>ROUND(A25*2^16,0)</f>
        <v>61</v>
      </c>
      <c r="C25" s="4">
        <v>-2.3278209643538399</v>
      </c>
      <c r="D25" s="4">
        <f>ROUND(C25*2^4,0)</f>
        <v>-37</v>
      </c>
    </row>
    <row r="26" spans="1:14" x14ac:dyDescent="0.25">
      <c r="A26" s="4">
        <v>2.3194228140305801E-4</v>
      </c>
      <c r="B26" s="4">
        <f>ROUND(A26*2^16,0)</f>
        <v>15</v>
      </c>
      <c r="C26" s="4">
        <v>0.49539186488882597</v>
      </c>
      <c r="D26" s="4">
        <f>ROUND(C26*2^4,0)</f>
        <v>8</v>
      </c>
    </row>
    <row r="30" spans="1:14" ht="16.5" x14ac:dyDescent="0.25">
      <c r="A30" s="8" t="s">
        <v>8</v>
      </c>
      <c r="B30" s="8" t="s">
        <v>12</v>
      </c>
      <c r="C30" s="9" t="s">
        <v>13</v>
      </c>
      <c r="D30" s="9" t="s">
        <v>9</v>
      </c>
      <c r="E30" s="9" t="s">
        <v>10</v>
      </c>
      <c r="F30" s="9" t="s">
        <v>16</v>
      </c>
      <c r="G30" s="9"/>
      <c r="H30" s="9" t="s">
        <v>15</v>
      </c>
      <c r="I30" s="9" t="s">
        <v>11</v>
      </c>
      <c r="J30" t="s">
        <v>14</v>
      </c>
    </row>
    <row r="31" spans="1:14" x14ac:dyDescent="0.25">
      <c r="A31" s="1">
        <f>B31/10^6</f>
        <v>0.99999979138374329</v>
      </c>
      <c r="B31" s="1">
        <f>(E31/2^D31)*C31</f>
        <v>999999.79138374329</v>
      </c>
      <c r="C31" s="1">
        <f>100*10^6</f>
        <v>100000000</v>
      </c>
      <c r="D31" s="1">
        <v>28</v>
      </c>
      <c r="E31" s="1">
        <f>F31*L31</f>
        <v>2684354</v>
      </c>
      <c r="F31" s="1">
        <v>1</v>
      </c>
      <c r="G31" s="1"/>
      <c r="H31" s="1" t="e">
        <f>HEX2DEC(I31)</f>
        <v>#NUM!</v>
      </c>
      <c r="I31" s="1">
        <f>J31*2^D31/B31</f>
        <v>268435512.00001168</v>
      </c>
      <c r="J31">
        <f>1*10^6</f>
        <v>1000000</v>
      </c>
      <c r="L31" s="1">
        <v>2684354</v>
      </c>
      <c r="N31" t="str">
        <f>DEC2HEX(L31)</f>
        <v>28F5C2</v>
      </c>
    </row>
    <row r="32" spans="1:14" x14ac:dyDescent="0.25">
      <c r="A32" s="1">
        <f>B32/10^6</f>
        <v>1.9999995827674866</v>
      </c>
      <c r="B32" s="1">
        <f t="shared" ref="B32:B56" si="3">(E32/2^D32)*C32</f>
        <v>1999999.5827674866</v>
      </c>
      <c r="C32" s="1">
        <f t="shared" ref="C32:C56" si="4">100*10^6</f>
        <v>100000000</v>
      </c>
      <c r="D32" s="1">
        <v>28</v>
      </c>
      <c r="E32" s="1">
        <f>F32*L32</f>
        <v>5368708</v>
      </c>
      <c r="F32" s="1">
        <f>F31+1</f>
        <v>2</v>
      </c>
      <c r="L32" s="1">
        <v>2684354</v>
      </c>
    </row>
    <row r="33" spans="1:12" x14ac:dyDescent="0.25">
      <c r="A33" s="1">
        <f t="shared" ref="A32:A56" si="5">B33/10^6</f>
        <v>2.9999993741512299</v>
      </c>
      <c r="B33" s="1">
        <f t="shared" si="3"/>
        <v>2999999.3741512299</v>
      </c>
      <c r="C33" s="1">
        <f t="shared" si="4"/>
        <v>100000000</v>
      </c>
      <c r="D33" s="1">
        <v>28</v>
      </c>
      <c r="E33" s="1">
        <f t="shared" ref="E32:E56" si="6">F33*L33</f>
        <v>8053062</v>
      </c>
      <c r="F33" s="1">
        <f t="shared" ref="F33:F56" si="7">F32+1</f>
        <v>3</v>
      </c>
      <c r="L33" s="1">
        <v>2684354</v>
      </c>
    </row>
    <row r="34" spans="1:12" x14ac:dyDescent="0.25">
      <c r="A34" s="1">
        <f t="shared" si="5"/>
        <v>3.9999991655349731</v>
      </c>
      <c r="B34" s="1">
        <f t="shared" si="3"/>
        <v>3999999.1655349731</v>
      </c>
      <c r="C34" s="1">
        <f t="shared" si="4"/>
        <v>100000000</v>
      </c>
      <c r="D34" s="1">
        <v>28</v>
      </c>
      <c r="E34" s="1">
        <f t="shared" si="6"/>
        <v>10737416</v>
      </c>
      <c r="F34" s="1">
        <f t="shared" si="7"/>
        <v>4</v>
      </c>
      <c r="L34" s="1">
        <v>2684354</v>
      </c>
    </row>
    <row r="35" spans="1:12" x14ac:dyDescent="0.25">
      <c r="A35" s="1">
        <f t="shared" si="5"/>
        <v>4.9999989569187164</v>
      </c>
      <c r="B35" s="1">
        <f t="shared" si="3"/>
        <v>4999998.9569187164</v>
      </c>
      <c r="C35" s="1">
        <f t="shared" si="4"/>
        <v>100000000</v>
      </c>
      <c r="D35" s="1">
        <v>28</v>
      </c>
      <c r="E35" s="1">
        <f t="shared" si="6"/>
        <v>13421770</v>
      </c>
      <c r="F35" s="1">
        <f t="shared" si="7"/>
        <v>5</v>
      </c>
      <c r="L35" s="1">
        <v>2684354</v>
      </c>
    </row>
    <row r="36" spans="1:12" x14ac:dyDescent="0.25">
      <c r="A36" s="1">
        <f t="shared" si="5"/>
        <v>5.9999987483024597</v>
      </c>
      <c r="B36" s="1">
        <f t="shared" si="3"/>
        <v>5999998.7483024597</v>
      </c>
      <c r="C36" s="1">
        <f t="shared" si="4"/>
        <v>100000000</v>
      </c>
      <c r="D36" s="1">
        <v>28</v>
      </c>
      <c r="E36" s="1">
        <f t="shared" si="6"/>
        <v>16106124</v>
      </c>
      <c r="F36" s="1">
        <f t="shared" si="7"/>
        <v>6</v>
      </c>
      <c r="L36" s="1">
        <v>2684354</v>
      </c>
    </row>
    <row r="37" spans="1:12" x14ac:dyDescent="0.25">
      <c r="A37" s="1">
        <f t="shared" si="5"/>
        <v>6.999998539686203</v>
      </c>
      <c r="B37" s="1">
        <f t="shared" si="3"/>
        <v>6999998.539686203</v>
      </c>
      <c r="C37" s="1">
        <f t="shared" si="4"/>
        <v>100000000</v>
      </c>
      <c r="D37" s="1">
        <v>28</v>
      </c>
      <c r="E37" s="1">
        <f t="shared" si="6"/>
        <v>18790478</v>
      </c>
      <c r="F37" s="1">
        <f t="shared" si="7"/>
        <v>7</v>
      </c>
      <c r="L37" s="1">
        <v>2684354</v>
      </c>
    </row>
    <row r="38" spans="1:12" x14ac:dyDescent="0.25">
      <c r="A38" s="1">
        <f t="shared" si="5"/>
        <v>7.9999983310699463</v>
      </c>
      <c r="B38" s="1">
        <f t="shared" si="3"/>
        <v>7999998.3310699463</v>
      </c>
      <c r="C38" s="1">
        <f t="shared" si="4"/>
        <v>100000000</v>
      </c>
      <c r="D38" s="1">
        <v>28</v>
      </c>
      <c r="E38" s="1">
        <f t="shared" si="6"/>
        <v>21474832</v>
      </c>
      <c r="F38" s="1">
        <f t="shared" si="7"/>
        <v>8</v>
      </c>
      <c r="L38" s="1">
        <v>2684354</v>
      </c>
    </row>
    <row r="39" spans="1:12" x14ac:dyDescent="0.25">
      <c r="A39" s="1">
        <f t="shared" si="5"/>
        <v>8.9999981224536896</v>
      </c>
      <c r="B39" s="1">
        <f t="shared" si="3"/>
        <v>8999998.1224536896</v>
      </c>
      <c r="C39" s="1">
        <f t="shared" si="4"/>
        <v>100000000</v>
      </c>
      <c r="D39" s="1">
        <v>28</v>
      </c>
      <c r="E39" s="1">
        <f t="shared" si="6"/>
        <v>24159186</v>
      </c>
      <c r="F39" s="1">
        <f t="shared" si="7"/>
        <v>9</v>
      </c>
      <c r="L39" s="1">
        <v>2684354</v>
      </c>
    </row>
    <row r="40" spans="1:12" x14ac:dyDescent="0.25">
      <c r="A40" s="1">
        <f t="shared" si="5"/>
        <v>9.9999979138374329</v>
      </c>
      <c r="B40" s="1">
        <f t="shared" si="3"/>
        <v>9999997.9138374329</v>
      </c>
      <c r="C40" s="1">
        <f t="shared" si="4"/>
        <v>100000000</v>
      </c>
      <c r="D40" s="1">
        <v>28</v>
      </c>
      <c r="E40" s="1">
        <f t="shared" si="6"/>
        <v>26843540</v>
      </c>
      <c r="F40" s="1">
        <f t="shared" si="7"/>
        <v>10</v>
      </c>
      <c r="L40" s="1">
        <v>2684354</v>
      </c>
    </row>
    <row r="41" spans="1:12" x14ac:dyDescent="0.25">
      <c r="A41" s="1">
        <f t="shared" si="5"/>
        <v>10.999997705221176</v>
      </c>
      <c r="B41" s="1">
        <f t="shared" si="3"/>
        <v>10999997.705221176</v>
      </c>
      <c r="C41" s="1">
        <f t="shared" si="4"/>
        <v>100000000</v>
      </c>
      <c r="D41" s="1">
        <v>28</v>
      </c>
      <c r="E41" s="1">
        <f t="shared" si="6"/>
        <v>29527894</v>
      </c>
      <c r="F41" s="1">
        <f t="shared" si="7"/>
        <v>11</v>
      </c>
      <c r="L41" s="1">
        <v>2684354</v>
      </c>
    </row>
    <row r="42" spans="1:12" x14ac:dyDescent="0.25">
      <c r="A42" s="1">
        <f t="shared" si="5"/>
        <v>11.999997496604919</v>
      </c>
      <c r="B42" s="1">
        <f t="shared" si="3"/>
        <v>11999997.496604919</v>
      </c>
      <c r="C42" s="1">
        <f t="shared" si="4"/>
        <v>100000000</v>
      </c>
      <c r="D42" s="1">
        <v>28</v>
      </c>
      <c r="E42" s="1">
        <f t="shared" si="6"/>
        <v>32212248</v>
      </c>
      <c r="F42" s="1">
        <f t="shared" si="7"/>
        <v>12</v>
      </c>
      <c r="L42" s="1">
        <v>2684354</v>
      </c>
    </row>
    <row r="43" spans="1:12" x14ac:dyDescent="0.25">
      <c r="A43" s="1">
        <f t="shared" si="5"/>
        <v>12.999997287988663</v>
      </c>
      <c r="B43" s="1">
        <f t="shared" si="3"/>
        <v>12999997.287988663</v>
      </c>
      <c r="C43" s="1">
        <f t="shared" si="4"/>
        <v>100000000</v>
      </c>
      <c r="D43" s="1">
        <v>28</v>
      </c>
      <c r="E43" s="1">
        <f t="shared" si="6"/>
        <v>34896602</v>
      </c>
      <c r="F43" s="1">
        <f t="shared" si="7"/>
        <v>13</v>
      </c>
      <c r="L43" s="1">
        <v>2684354</v>
      </c>
    </row>
    <row r="44" spans="1:12" x14ac:dyDescent="0.25">
      <c r="A44" s="1">
        <f t="shared" si="5"/>
        <v>13.999997079372406</v>
      </c>
      <c r="B44" s="1">
        <f t="shared" si="3"/>
        <v>13999997.079372406</v>
      </c>
      <c r="C44" s="1">
        <f t="shared" si="4"/>
        <v>100000000</v>
      </c>
      <c r="D44" s="1">
        <v>28</v>
      </c>
      <c r="E44" s="1">
        <f t="shared" si="6"/>
        <v>37580956</v>
      </c>
      <c r="F44" s="1">
        <f t="shared" si="7"/>
        <v>14</v>
      </c>
      <c r="L44" s="1">
        <v>2684354</v>
      </c>
    </row>
    <row r="45" spans="1:12" x14ac:dyDescent="0.25">
      <c r="A45" s="1">
        <f t="shared" si="5"/>
        <v>14.999996870756149</v>
      </c>
      <c r="B45" s="1">
        <f t="shared" si="3"/>
        <v>14999996.870756149</v>
      </c>
      <c r="C45" s="1">
        <f t="shared" si="4"/>
        <v>100000000</v>
      </c>
      <c r="D45" s="1">
        <v>28</v>
      </c>
      <c r="E45" s="1">
        <f t="shared" si="6"/>
        <v>40265310</v>
      </c>
      <c r="F45" s="1">
        <f t="shared" si="7"/>
        <v>15</v>
      </c>
      <c r="L45" s="1">
        <v>2684354</v>
      </c>
    </row>
    <row r="46" spans="1:12" x14ac:dyDescent="0.25">
      <c r="A46" s="1">
        <f t="shared" si="5"/>
        <v>15.999996662139893</v>
      </c>
      <c r="B46" s="1">
        <f t="shared" si="3"/>
        <v>15999996.662139893</v>
      </c>
      <c r="C46" s="1">
        <f t="shared" si="4"/>
        <v>100000000</v>
      </c>
      <c r="D46" s="1">
        <v>28</v>
      </c>
      <c r="E46" s="1">
        <f t="shared" si="6"/>
        <v>42949664</v>
      </c>
      <c r="F46" s="1">
        <f t="shared" si="7"/>
        <v>16</v>
      </c>
      <c r="L46" s="1">
        <v>2684354</v>
      </c>
    </row>
    <row r="47" spans="1:12" x14ac:dyDescent="0.25">
      <c r="A47" s="1">
        <f t="shared" si="5"/>
        <v>16.999996453523636</v>
      </c>
      <c r="B47" s="1">
        <f t="shared" si="3"/>
        <v>16999996.453523636</v>
      </c>
      <c r="C47" s="1">
        <f t="shared" si="4"/>
        <v>100000000</v>
      </c>
      <c r="D47" s="1">
        <v>28</v>
      </c>
      <c r="E47" s="1">
        <f t="shared" si="6"/>
        <v>45634018</v>
      </c>
      <c r="F47" s="1">
        <f t="shared" si="7"/>
        <v>17</v>
      </c>
      <c r="L47" s="1">
        <v>2684354</v>
      </c>
    </row>
    <row r="48" spans="1:12" x14ac:dyDescent="0.25">
      <c r="A48" s="1">
        <f t="shared" si="5"/>
        <v>17.999996244907379</v>
      </c>
      <c r="B48" s="1">
        <f t="shared" si="3"/>
        <v>17999996.244907379</v>
      </c>
      <c r="C48" s="1">
        <f t="shared" si="4"/>
        <v>100000000</v>
      </c>
      <c r="D48" s="1">
        <v>28</v>
      </c>
      <c r="E48" s="1">
        <f t="shared" si="6"/>
        <v>48318372</v>
      </c>
      <c r="F48" s="1">
        <f t="shared" si="7"/>
        <v>18</v>
      </c>
      <c r="L48" s="1">
        <v>2684354</v>
      </c>
    </row>
    <row r="49" spans="1:12" x14ac:dyDescent="0.25">
      <c r="A49" s="1">
        <f t="shared" si="5"/>
        <v>18.999996036291122</v>
      </c>
      <c r="B49" s="1">
        <f t="shared" si="3"/>
        <v>18999996.036291122</v>
      </c>
      <c r="C49" s="1">
        <f t="shared" si="4"/>
        <v>100000000</v>
      </c>
      <c r="D49" s="1">
        <v>28</v>
      </c>
      <c r="E49" s="1">
        <f t="shared" si="6"/>
        <v>51002726</v>
      </c>
      <c r="F49" s="1">
        <f t="shared" si="7"/>
        <v>19</v>
      </c>
      <c r="L49" s="1">
        <v>2684354</v>
      </c>
    </row>
    <row r="50" spans="1:12" x14ac:dyDescent="0.25">
      <c r="A50" s="1">
        <f t="shared" si="5"/>
        <v>19.999995827674866</v>
      </c>
      <c r="B50" s="1">
        <f t="shared" si="3"/>
        <v>19999995.827674866</v>
      </c>
      <c r="C50" s="1">
        <f t="shared" si="4"/>
        <v>100000000</v>
      </c>
      <c r="D50" s="1">
        <v>28</v>
      </c>
      <c r="E50" s="1">
        <f t="shared" si="6"/>
        <v>53687080</v>
      </c>
      <c r="F50" s="1">
        <f t="shared" si="7"/>
        <v>20</v>
      </c>
      <c r="L50" s="1">
        <v>2684354</v>
      </c>
    </row>
    <row r="51" spans="1:12" x14ac:dyDescent="0.25">
      <c r="A51" s="1">
        <f t="shared" si="5"/>
        <v>20.999995619058609</v>
      </c>
      <c r="B51" s="1">
        <f t="shared" si="3"/>
        <v>20999995.619058609</v>
      </c>
      <c r="C51" s="1">
        <f t="shared" si="4"/>
        <v>100000000</v>
      </c>
      <c r="D51" s="1">
        <v>28</v>
      </c>
      <c r="E51" s="1">
        <f t="shared" si="6"/>
        <v>56371434</v>
      </c>
      <c r="F51" s="1">
        <f t="shared" si="7"/>
        <v>21</v>
      </c>
      <c r="L51" s="1">
        <v>2684354</v>
      </c>
    </row>
    <row r="52" spans="1:12" x14ac:dyDescent="0.25">
      <c r="A52" s="1">
        <f t="shared" si="5"/>
        <v>21.999995410442352</v>
      </c>
      <c r="B52" s="1">
        <f t="shared" si="3"/>
        <v>21999995.410442352</v>
      </c>
      <c r="C52" s="1">
        <f t="shared" si="4"/>
        <v>100000000</v>
      </c>
      <c r="D52" s="1">
        <v>28</v>
      </c>
      <c r="E52" s="1">
        <f t="shared" si="6"/>
        <v>59055788</v>
      </c>
      <c r="F52" s="1">
        <f t="shared" si="7"/>
        <v>22</v>
      </c>
      <c r="L52" s="1">
        <v>2684354</v>
      </c>
    </row>
    <row r="53" spans="1:12" x14ac:dyDescent="0.25">
      <c r="A53" s="1">
        <f t="shared" si="5"/>
        <v>22.999995201826096</v>
      </c>
      <c r="B53" s="1">
        <f t="shared" si="3"/>
        <v>22999995.201826096</v>
      </c>
      <c r="C53" s="1">
        <f t="shared" si="4"/>
        <v>100000000</v>
      </c>
      <c r="D53" s="1">
        <v>28</v>
      </c>
      <c r="E53" s="1">
        <f t="shared" si="6"/>
        <v>61740142</v>
      </c>
      <c r="F53" s="1">
        <f t="shared" si="7"/>
        <v>23</v>
      </c>
      <c r="L53" s="1">
        <v>2684354</v>
      </c>
    </row>
    <row r="54" spans="1:12" x14ac:dyDescent="0.25">
      <c r="A54" s="1">
        <f t="shared" si="5"/>
        <v>23.999994993209839</v>
      </c>
      <c r="B54" s="1">
        <f t="shared" si="3"/>
        <v>23999994.993209839</v>
      </c>
      <c r="C54" s="1">
        <f t="shared" si="4"/>
        <v>100000000</v>
      </c>
      <c r="D54" s="1">
        <v>28</v>
      </c>
      <c r="E54" s="1">
        <f t="shared" si="6"/>
        <v>64424496</v>
      </c>
      <c r="F54" s="1">
        <f t="shared" si="7"/>
        <v>24</v>
      </c>
      <c r="L54" s="1">
        <v>2684354</v>
      </c>
    </row>
    <row r="55" spans="1:12" x14ac:dyDescent="0.25">
      <c r="A55" s="1">
        <f t="shared" si="5"/>
        <v>24.999994784593582</v>
      </c>
      <c r="B55" s="1">
        <f t="shared" si="3"/>
        <v>24999994.784593582</v>
      </c>
      <c r="C55" s="1">
        <f t="shared" si="4"/>
        <v>100000000</v>
      </c>
      <c r="D55" s="1">
        <v>28</v>
      </c>
      <c r="E55" s="1">
        <f t="shared" si="6"/>
        <v>67108850</v>
      </c>
      <c r="F55" s="1">
        <f t="shared" si="7"/>
        <v>25</v>
      </c>
      <c r="L55" s="1">
        <v>2684354</v>
      </c>
    </row>
    <row r="56" spans="1:12" x14ac:dyDescent="0.25">
      <c r="A56" s="1">
        <f t="shared" si="5"/>
        <v>25.999994575977325</v>
      </c>
      <c r="B56" s="1">
        <f t="shared" si="3"/>
        <v>25999994.575977325</v>
      </c>
      <c r="C56" s="1">
        <f t="shared" si="4"/>
        <v>100000000</v>
      </c>
      <c r="D56" s="1">
        <v>28</v>
      </c>
      <c r="E56" s="1">
        <f t="shared" si="6"/>
        <v>69793204</v>
      </c>
      <c r="F56" s="1">
        <f t="shared" si="7"/>
        <v>26</v>
      </c>
      <c r="L56" s="1">
        <v>2684354</v>
      </c>
    </row>
    <row r="57" spans="1:12" x14ac:dyDescent="0.25">
      <c r="L57" s="1">
        <v>2684354</v>
      </c>
    </row>
    <row r="77" spans="1:12" ht="16.5" x14ac:dyDescent="0.25">
      <c r="A77" s="8" t="s">
        <v>17</v>
      </c>
      <c r="B77" s="8" t="s">
        <v>12</v>
      </c>
      <c r="C77" s="9" t="s">
        <v>13</v>
      </c>
      <c r="D77" s="9" t="s">
        <v>9</v>
      </c>
      <c r="E77" s="9" t="s">
        <v>10</v>
      </c>
      <c r="F77" s="9" t="s">
        <v>16</v>
      </c>
      <c r="G77" s="9"/>
      <c r="H77" s="9"/>
      <c r="I77" s="9"/>
    </row>
    <row r="78" spans="1:12" x14ac:dyDescent="0.25">
      <c r="A78" s="1">
        <f>B78/10^3</f>
        <v>5.0024986267089844</v>
      </c>
      <c r="B78" s="1">
        <f>(E78/2^D78)*C78</f>
        <v>5002.4986267089844</v>
      </c>
      <c r="C78" s="1">
        <f>99.84*10^6</f>
        <v>99840000</v>
      </c>
      <c r="D78" s="1">
        <v>28</v>
      </c>
      <c r="E78" s="1">
        <f>L78*F78</f>
        <v>13450</v>
      </c>
      <c r="F78" s="1">
        <v>1</v>
      </c>
      <c r="G78" s="1"/>
      <c r="H78" s="1"/>
      <c r="I78" s="1"/>
      <c r="L78" s="1">
        <v>13450</v>
      </c>
    </row>
    <row r="79" spans="1:12" x14ac:dyDescent="0.25">
      <c r="A79" s="1">
        <f t="shared" ref="A79:A142" si="8">B79/10^3</f>
        <v>10.004997253417969</v>
      </c>
      <c r="B79" s="1">
        <f t="shared" ref="B79:B142" si="9">(E79/2^D79)*C79</f>
        <v>10004.997253417969</v>
      </c>
      <c r="C79" s="1">
        <f t="shared" ref="C79:C142" si="10">99.84*10^6</f>
        <v>99840000</v>
      </c>
      <c r="D79" s="1">
        <v>28</v>
      </c>
      <c r="E79" s="1">
        <f t="shared" ref="E79:E142" si="11">L79*F79</f>
        <v>26900</v>
      </c>
      <c r="F79" s="1">
        <f>F78+1</f>
        <v>2</v>
      </c>
      <c r="L79" s="1">
        <v>13450</v>
      </c>
    </row>
    <row r="80" spans="1:12" x14ac:dyDescent="0.25">
      <c r="A80" s="1">
        <f t="shared" si="8"/>
        <v>15.007495880126953</v>
      </c>
      <c r="B80" s="1">
        <f t="shared" si="9"/>
        <v>15007.495880126953</v>
      </c>
      <c r="C80" s="1">
        <f t="shared" si="10"/>
        <v>99840000</v>
      </c>
      <c r="D80" s="1">
        <v>28</v>
      </c>
      <c r="E80" s="1">
        <f t="shared" si="11"/>
        <v>40350</v>
      </c>
      <c r="F80" s="1">
        <f t="shared" ref="F80:F143" si="12">F79+1</f>
        <v>3</v>
      </c>
      <c r="L80" s="1">
        <v>13450</v>
      </c>
    </row>
    <row r="81" spans="1:12" x14ac:dyDescent="0.25">
      <c r="A81" s="1">
        <f t="shared" si="8"/>
        <v>20.009994506835938</v>
      </c>
      <c r="B81" s="1">
        <f t="shared" si="9"/>
        <v>20009.994506835938</v>
      </c>
      <c r="C81" s="1">
        <f t="shared" si="10"/>
        <v>99840000</v>
      </c>
      <c r="D81" s="1">
        <v>28</v>
      </c>
      <c r="E81" s="1">
        <f t="shared" si="11"/>
        <v>53800</v>
      </c>
      <c r="F81" s="1">
        <f t="shared" si="12"/>
        <v>4</v>
      </c>
      <c r="L81" s="1">
        <v>13450</v>
      </c>
    </row>
    <row r="82" spans="1:12" x14ac:dyDescent="0.25">
      <c r="A82" s="1">
        <f t="shared" si="8"/>
        <v>25.012493133544922</v>
      </c>
      <c r="B82" s="1">
        <f t="shared" si="9"/>
        <v>25012.493133544922</v>
      </c>
      <c r="C82" s="1">
        <f t="shared" si="10"/>
        <v>99840000</v>
      </c>
      <c r="D82" s="1">
        <v>28</v>
      </c>
      <c r="E82" s="1">
        <f t="shared" si="11"/>
        <v>67250</v>
      </c>
      <c r="F82" s="1">
        <f t="shared" si="12"/>
        <v>5</v>
      </c>
      <c r="L82" s="1">
        <v>13450</v>
      </c>
    </row>
    <row r="83" spans="1:12" x14ac:dyDescent="0.25">
      <c r="A83" s="1">
        <f t="shared" si="8"/>
        <v>30.014991760253906</v>
      </c>
      <c r="B83" s="1">
        <f t="shared" si="9"/>
        <v>30014.991760253906</v>
      </c>
      <c r="C83" s="1">
        <f t="shared" si="10"/>
        <v>99840000</v>
      </c>
      <c r="D83" s="1">
        <v>28</v>
      </c>
      <c r="E83" s="1">
        <f t="shared" si="11"/>
        <v>80700</v>
      </c>
      <c r="F83" s="1">
        <f t="shared" si="12"/>
        <v>6</v>
      </c>
      <c r="L83" s="1">
        <v>13450</v>
      </c>
    </row>
    <row r="84" spans="1:12" x14ac:dyDescent="0.25">
      <c r="A84" s="1">
        <f t="shared" si="8"/>
        <v>35.017490386962891</v>
      </c>
      <c r="B84" s="1">
        <f t="shared" si="9"/>
        <v>35017.490386962891</v>
      </c>
      <c r="C84" s="1">
        <f t="shared" si="10"/>
        <v>99840000</v>
      </c>
      <c r="D84" s="1">
        <v>28</v>
      </c>
      <c r="E84" s="1">
        <f t="shared" si="11"/>
        <v>94150</v>
      </c>
      <c r="F84" s="1">
        <f t="shared" si="12"/>
        <v>7</v>
      </c>
      <c r="L84" s="1">
        <v>13450</v>
      </c>
    </row>
    <row r="85" spans="1:12" x14ac:dyDescent="0.25">
      <c r="A85" s="1">
        <f t="shared" si="8"/>
        <v>40.019989013671875</v>
      </c>
      <c r="B85" s="1">
        <f t="shared" si="9"/>
        <v>40019.989013671875</v>
      </c>
      <c r="C85" s="1">
        <f t="shared" si="10"/>
        <v>99840000</v>
      </c>
      <c r="D85" s="1">
        <v>28</v>
      </c>
      <c r="E85" s="1">
        <f t="shared" si="11"/>
        <v>107600</v>
      </c>
      <c r="F85" s="1">
        <f t="shared" si="12"/>
        <v>8</v>
      </c>
      <c r="L85" s="1">
        <v>13450</v>
      </c>
    </row>
    <row r="86" spans="1:12" x14ac:dyDescent="0.25">
      <c r="A86" s="1">
        <f t="shared" si="8"/>
        <v>45.022487640380859</v>
      </c>
      <c r="B86" s="1">
        <f t="shared" si="9"/>
        <v>45022.487640380859</v>
      </c>
      <c r="C86" s="1">
        <f t="shared" si="10"/>
        <v>99840000</v>
      </c>
      <c r="D86" s="1">
        <v>28</v>
      </c>
      <c r="E86" s="1">
        <f t="shared" si="11"/>
        <v>121050</v>
      </c>
      <c r="F86" s="1">
        <f t="shared" si="12"/>
        <v>9</v>
      </c>
      <c r="L86" s="1">
        <v>13450</v>
      </c>
    </row>
    <row r="87" spans="1:12" x14ac:dyDescent="0.25">
      <c r="A87" s="1">
        <f t="shared" si="8"/>
        <v>50.024986267089844</v>
      </c>
      <c r="B87" s="1">
        <f t="shared" si="9"/>
        <v>50024.986267089844</v>
      </c>
      <c r="C87" s="1">
        <f t="shared" si="10"/>
        <v>99840000</v>
      </c>
      <c r="D87" s="1">
        <v>28</v>
      </c>
      <c r="E87" s="1">
        <f t="shared" si="11"/>
        <v>134500</v>
      </c>
      <c r="F87" s="1">
        <f t="shared" si="12"/>
        <v>10</v>
      </c>
      <c r="L87" s="1">
        <v>13450</v>
      </c>
    </row>
    <row r="88" spans="1:12" x14ac:dyDescent="0.25">
      <c r="A88" s="1">
        <f t="shared" si="8"/>
        <v>55.027484893798828</v>
      </c>
      <c r="B88" s="1">
        <f t="shared" si="9"/>
        <v>55027.484893798828</v>
      </c>
      <c r="C88" s="1">
        <f t="shared" si="10"/>
        <v>99840000</v>
      </c>
      <c r="D88" s="1">
        <v>28</v>
      </c>
      <c r="E88" s="1">
        <f t="shared" si="11"/>
        <v>147950</v>
      </c>
      <c r="F88" s="1">
        <f t="shared" si="12"/>
        <v>11</v>
      </c>
      <c r="L88" s="1">
        <v>13450</v>
      </c>
    </row>
    <row r="89" spans="1:12" x14ac:dyDescent="0.25">
      <c r="A89" s="1">
        <f t="shared" si="8"/>
        <v>60.029983520507813</v>
      </c>
      <c r="B89" s="1">
        <f t="shared" si="9"/>
        <v>60029.983520507813</v>
      </c>
      <c r="C89" s="1">
        <f t="shared" si="10"/>
        <v>99840000</v>
      </c>
      <c r="D89" s="1">
        <v>28</v>
      </c>
      <c r="E89" s="1">
        <f t="shared" si="11"/>
        <v>161400</v>
      </c>
      <c r="F89" s="1">
        <f t="shared" si="12"/>
        <v>12</v>
      </c>
      <c r="L89" s="1">
        <v>13450</v>
      </c>
    </row>
    <row r="90" spans="1:12" x14ac:dyDescent="0.25">
      <c r="A90" s="1">
        <f t="shared" si="8"/>
        <v>65.032482147216797</v>
      </c>
      <c r="B90" s="1">
        <f t="shared" si="9"/>
        <v>65032.482147216797</v>
      </c>
      <c r="C90" s="1">
        <f t="shared" si="10"/>
        <v>99840000</v>
      </c>
      <c r="D90" s="1">
        <v>28</v>
      </c>
      <c r="E90" s="1">
        <f t="shared" si="11"/>
        <v>174850</v>
      </c>
      <c r="F90" s="1">
        <f t="shared" si="12"/>
        <v>13</v>
      </c>
      <c r="L90" s="1">
        <v>13450</v>
      </c>
    </row>
    <row r="91" spans="1:12" x14ac:dyDescent="0.25">
      <c r="A91" s="1">
        <f t="shared" si="8"/>
        <v>70.034980773925781</v>
      </c>
      <c r="B91" s="1">
        <f t="shared" si="9"/>
        <v>70034.980773925781</v>
      </c>
      <c r="C91" s="1">
        <f t="shared" si="10"/>
        <v>99840000</v>
      </c>
      <c r="D91" s="1">
        <v>28</v>
      </c>
      <c r="E91" s="1">
        <f t="shared" si="11"/>
        <v>188300</v>
      </c>
      <c r="F91" s="1">
        <f t="shared" si="12"/>
        <v>14</v>
      </c>
      <c r="L91" s="1">
        <v>13450</v>
      </c>
    </row>
    <row r="92" spans="1:12" ht="14.25" customHeight="1" x14ac:dyDescent="0.25">
      <c r="A92" s="1">
        <f t="shared" si="8"/>
        <v>75.037479400634766</v>
      </c>
      <c r="B92" s="1">
        <f t="shared" si="9"/>
        <v>75037.479400634766</v>
      </c>
      <c r="C92" s="1">
        <f t="shared" si="10"/>
        <v>99840000</v>
      </c>
      <c r="D92" s="1">
        <v>28</v>
      </c>
      <c r="E92" s="1">
        <f t="shared" si="11"/>
        <v>201750</v>
      </c>
      <c r="F92" s="1">
        <f t="shared" si="12"/>
        <v>15</v>
      </c>
      <c r="L92" s="1">
        <v>13450</v>
      </c>
    </row>
    <row r="93" spans="1:12" x14ac:dyDescent="0.25">
      <c r="A93" s="1">
        <f t="shared" si="8"/>
        <v>80.03997802734375</v>
      </c>
      <c r="B93" s="1">
        <f t="shared" si="9"/>
        <v>80039.97802734375</v>
      </c>
      <c r="C93" s="1">
        <f t="shared" si="10"/>
        <v>99840000</v>
      </c>
      <c r="D93" s="1">
        <v>28</v>
      </c>
      <c r="E93" s="1">
        <f t="shared" si="11"/>
        <v>215200</v>
      </c>
      <c r="F93" s="1">
        <f t="shared" si="12"/>
        <v>16</v>
      </c>
      <c r="L93" s="1">
        <v>13450</v>
      </c>
    </row>
    <row r="94" spans="1:12" x14ac:dyDescent="0.25">
      <c r="A94" s="1">
        <f t="shared" si="8"/>
        <v>85.042476654052734</v>
      </c>
      <c r="B94" s="1">
        <f t="shared" si="9"/>
        <v>85042.476654052734</v>
      </c>
      <c r="C94" s="1">
        <f t="shared" si="10"/>
        <v>99840000</v>
      </c>
      <c r="D94" s="1">
        <v>28</v>
      </c>
      <c r="E94" s="1">
        <f t="shared" si="11"/>
        <v>228650</v>
      </c>
      <c r="F94" s="1">
        <f t="shared" si="12"/>
        <v>17</v>
      </c>
      <c r="L94" s="1">
        <v>13450</v>
      </c>
    </row>
    <row r="95" spans="1:12" x14ac:dyDescent="0.25">
      <c r="A95" s="1">
        <f t="shared" si="8"/>
        <v>90.044975280761719</v>
      </c>
      <c r="B95" s="1">
        <f t="shared" si="9"/>
        <v>90044.975280761719</v>
      </c>
      <c r="C95" s="1">
        <f t="shared" si="10"/>
        <v>99840000</v>
      </c>
      <c r="D95" s="1">
        <v>28</v>
      </c>
      <c r="E95" s="1">
        <f t="shared" si="11"/>
        <v>242100</v>
      </c>
      <c r="F95" s="1">
        <f t="shared" si="12"/>
        <v>18</v>
      </c>
      <c r="L95" s="1">
        <v>13450</v>
      </c>
    </row>
    <row r="96" spans="1:12" x14ac:dyDescent="0.25">
      <c r="A96" s="1">
        <f t="shared" si="8"/>
        <v>95.047473907470703</v>
      </c>
      <c r="B96" s="1">
        <f t="shared" si="9"/>
        <v>95047.473907470703</v>
      </c>
      <c r="C96" s="1">
        <f t="shared" si="10"/>
        <v>99840000</v>
      </c>
      <c r="D96" s="1">
        <v>28</v>
      </c>
      <c r="E96" s="1">
        <f t="shared" si="11"/>
        <v>255550</v>
      </c>
      <c r="F96" s="1">
        <f t="shared" si="12"/>
        <v>19</v>
      </c>
      <c r="L96" s="1">
        <v>13450</v>
      </c>
    </row>
    <row r="97" spans="1:12" x14ac:dyDescent="0.25">
      <c r="A97" s="1">
        <f t="shared" si="8"/>
        <v>100.04997253417969</v>
      </c>
      <c r="B97" s="1">
        <f t="shared" si="9"/>
        <v>100049.97253417969</v>
      </c>
      <c r="C97" s="1">
        <f t="shared" si="10"/>
        <v>99840000</v>
      </c>
      <c r="D97" s="1">
        <v>28</v>
      </c>
      <c r="E97" s="1">
        <f t="shared" si="11"/>
        <v>269000</v>
      </c>
      <c r="F97" s="1">
        <f t="shared" si="12"/>
        <v>20</v>
      </c>
      <c r="L97" s="1">
        <v>13450</v>
      </c>
    </row>
    <row r="98" spans="1:12" x14ac:dyDescent="0.25">
      <c r="A98" s="1">
        <f t="shared" si="8"/>
        <v>105.05247116088867</v>
      </c>
      <c r="B98" s="1">
        <f t="shared" si="9"/>
        <v>105052.47116088867</v>
      </c>
      <c r="C98" s="1">
        <f t="shared" si="10"/>
        <v>99840000</v>
      </c>
      <c r="D98" s="1">
        <v>28</v>
      </c>
      <c r="E98" s="1">
        <f t="shared" si="11"/>
        <v>282450</v>
      </c>
      <c r="F98" s="1">
        <f t="shared" si="12"/>
        <v>21</v>
      </c>
      <c r="L98" s="1">
        <v>13450</v>
      </c>
    </row>
    <row r="99" spans="1:12" x14ac:dyDescent="0.25">
      <c r="A99" s="1">
        <f t="shared" si="8"/>
        <v>110.05496978759766</v>
      </c>
      <c r="B99" s="1">
        <f t="shared" si="9"/>
        <v>110054.96978759766</v>
      </c>
      <c r="C99" s="1">
        <f t="shared" si="10"/>
        <v>99840000</v>
      </c>
      <c r="D99" s="1">
        <v>28</v>
      </c>
      <c r="E99" s="1">
        <f t="shared" si="11"/>
        <v>295900</v>
      </c>
      <c r="F99" s="1">
        <f t="shared" si="12"/>
        <v>22</v>
      </c>
      <c r="L99" s="1">
        <v>13450</v>
      </c>
    </row>
    <row r="100" spans="1:12" x14ac:dyDescent="0.25">
      <c r="A100" s="1">
        <f t="shared" si="8"/>
        <v>115.05746841430664</v>
      </c>
      <c r="B100" s="1">
        <f t="shared" si="9"/>
        <v>115057.46841430664</v>
      </c>
      <c r="C100" s="1">
        <f t="shared" si="10"/>
        <v>99840000</v>
      </c>
      <c r="D100" s="1">
        <v>28</v>
      </c>
      <c r="E100" s="1">
        <f t="shared" si="11"/>
        <v>309350</v>
      </c>
      <c r="F100" s="1">
        <f t="shared" si="12"/>
        <v>23</v>
      </c>
      <c r="L100" s="1">
        <v>13450</v>
      </c>
    </row>
    <row r="101" spans="1:12" x14ac:dyDescent="0.25">
      <c r="A101" s="1">
        <f t="shared" si="8"/>
        <v>120.05996704101563</v>
      </c>
      <c r="B101" s="1">
        <f t="shared" si="9"/>
        <v>120059.96704101563</v>
      </c>
      <c r="C101" s="1">
        <f t="shared" si="10"/>
        <v>99840000</v>
      </c>
      <c r="D101" s="1">
        <v>28</v>
      </c>
      <c r="E101" s="1">
        <f t="shared" si="11"/>
        <v>322800</v>
      </c>
      <c r="F101" s="1">
        <f t="shared" si="12"/>
        <v>24</v>
      </c>
      <c r="L101" s="1">
        <v>13450</v>
      </c>
    </row>
    <row r="102" spans="1:12" x14ac:dyDescent="0.25">
      <c r="A102" s="1">
        <f t="shared" si="8"/>
        <v>125.06246566772461</v>
      </c>
      <c r="B102" s="1">
        <f t="shared" si="9"/>
        <v>125062.46566772461</v>
      </c>
      <c r="C102" s="1">
        <f t="shared" si="10"/>
        <v>99840000</v>
      </c>
      <c r="D102" s="1">
        <v>28</v>
      </c>
      <c r="E102" s="1">
        <f t="shared" si="11"/>
        <v>336250</v>
      </c>
      <c r="F102" s="1">
        <f t="shared" si="12"/>
        <v>25</v>
      </c>
      <c r="L102" s="1">
        <v>13450</v>
      </c>
    </row>
    <row r="103" spans="1:12" x14ac:dyDescent="0.25">
      <c r="A103" s="1">
        <f t="shared" si="8"/>
        <v>130.06496429443359</v>
      </c>
      <c r="B103" s="1">
        <f t="shared" si="9"/>
        <v>130064.96429443359</v>
      </c>
      <c r="C103" s="1">
        <f t="shared" si="10"/>
        <v>99840000</v>
      </c>
      <c r="D103" s="1">
        <v>28</v>
      </c>
      <c r="E103" s="1">
        <f t="shared" si="11"/>
        <v>349700</v>
      </c>
      <c r="F103" s="1">
        <f t="shared" si="12"/>
        <v>26</v>
      </c>
      <c r="L103" s="1">
        <v>13450</v>
      </c>
    </row>
    <row r="104" spans="1:12" x14ac:dyDescent="0.25">
      <c r="A104" s="1">
        <f t="shared" si="8"/>
        <v>135.06746292114258</v>
      </c>
      <c r="B104" s="1">
        <f t="shared" si="9"/>
        <v>135067.46292114258</v>
      </c>
      <c r="C104" s="1">
        <f t="shared" si="10"/>
        <v>99840000</v>
      </c>
      <c r="D104" s="1">
        <v>28</v>
      </c>
      <c r="E104" s="1">
        <f t="shared" si="11"/>
        <v>363150</v>
      </c>
      <c r="F104" s="1">
        <f t="shared" si="12"/>
        <v>27</v>
      </c>
      <c r="L104" s="1">
        <v>13450</v>
      </c>
    </row>
    <row r="105" spans="1:12" x14ac:dyDescent="0.25">
      <c r="A105" s="1">
        <f t="shared" si="8"/>
        <v>140.06996154785156</v>
      </c>
      <c r="B105" s="1">
        <f t="shared" si="9"/>
        <v>140069.96154785156</v>
      </c>
      <c r="C105" s="1">
        <f t="shared" si="10"/>
        <v>99840000</v>
      </c>
      <c r="D105" s="1">
        <v>28</v>
      </c>
      <c r="E105" s="1">
        <f t="shared" si="11"/>
        <v>376600</v>
      </c>
      <c r="F105" s="1">
        <f t="shared" si="12"/>
        <v>28</v>
      </c>
      <c r="L105" s="1">
        <v>13450</v>
      </c>
    </row>
    <row r="106" spans="1:12" x14ac:dyDescent="0.25">
      <c r="A106" s="1">
        <f t="shared" si="8"/>
        <v>145.07246017456055</v>
      </c>
      <c r="B106" s="1">
        <f t="shared" si="9"/>
        <v>145072.46017456055</v>
      </c>
      <c r="C106" s="1">
        <f t="shared" si="10"/>
        <v>99840000</v>
      </c>
      <c r="D106" s="1">
        <v>28</v>
      </c>
      <c r="E106" s="1">
        <f t="shared" si="11"/>
        <v>390050</v>
      </c>
      <c r="F106" s="1">
        <f t="shared" si="12"/>
        <v>29</v>
      </c>
      <c r="L106" s="1">
        <v>13450</v>
      </c>
    </row>
    <row r="107" spans="1:12" x14ac:dyDescent="0.25">
      <c r="A107" s="1">
        <f t="shared" si="8"/>
        <v>150.07495880126953</v>
      </c>
      <c r="B107" s="1">
        <f t="shared" si="9"/>
        <v>150074.95880126953</v>
      </c>
      <c r="C107" s="1">
        <f t="shared" si="10"/>
        <v>99840000</v>
      </c>
      <c r="D107" s="1">
        <v>28</v>
      </c>
      <c r="E107" s="1">
        <f t="shared" si="11"/>
        <v>403500</v>
      </c>
      <c r="F107" s="1">
        <f t="shared" si="12"/>
        <v>30</v>
      </c>
      <c r="L107" s="1">
        <v>13450</v>
      </c>
    </row>
    <row r="108" spans="1:12" x14ac:dyDescent="0.25">
      <c r="A108" s="1">
        <f t="shared" si="8"/>
        <v>155.07745742797852</v>
      </c>
      <c r="B108" s="1">
        <f t="shared" si="9"/>
        <v>155077.45742797852</v>
      </c>
      <c r="C108" s="1">
        <f t="shared" si="10"/>
        <v>99840000</v>
      </c>
      <c r="D108" s="1">
        <v>28</v>
      </c>
      <c r="E108" s="1">
        <f t="shared" si="11"/>
        <v>416950</v>
      </c>
      <c r="F108" s="1">
        <f t="shared" si="12"/>
        <v>31</v>
      </c>
      <c r="L108" s="1">
        <v>13450</v>
      </c>
    </row>
    <row r="109" spans="1:12" x14ac:dyDescent="0.25">
      <c r="A109" s="1">
        <f t="shared" si="8"/>
        <v>160.0799560546875</v>
      </c>
      <c r="B109" s="1">
        <f t="shared" si="9"/>
        <v>160079.9560546875</v>
      </c>
      <c r="C109" s="1">
        <f t="shared" si="10"/>
        <v>99840000</v>
      </c>
      <c r="D109" s="1">
        <v>28</v>
      </c>
      <c r="E109" s="1">
        <f t="shared" si="11"/>
        <v>430400</v>
      </c>
      <c r="F109" s="1">
        <f t="shared" si="12"/>
        <v>32</v>
      </c>
      <c r="L109" s="1">
        <v>13450</v>
      </c>
    </row>
    <row r="110" spans="1:12" x14ac:dyDescent="0.25">
      <c r="A110" s="1">
        <f t="shared" si="8"/>
        <v>165.08245468139648</v>
      </c>
      <c r="B110" s="1">
        <f t="shared" si="9"/>
        <v>165082.45468139648</v>
      </c>
      <c r="C110" s="1">
        <f t="shared" si="10"/>
        <v>99840000</v>
      </c>
      <c r="D110" s="1">
        <v>28</v>
      </c>
      <c r="E110" s="1">
        <f t="shared" si="11"/>
        <v>443850</v>
      </c>
      <c r="F110" s="1">
        <f t="shared" si="12"/>
        <v>33</v>
      </c>
      <c r="L110" s="1">
        <v>13450</v>
      </c>
    </row>
    <row r="111" spans="1:12" x14ac:dyDescent="0.25">
      <c r="A111" s="1">
        <f t="shared" si="8"/>
        <v>170.08495330810547</v>
      </c>
      <c r="B111" s="1">
        <f t="shared" si="9"/>
        <v>170084.95330810547</v>
      </c>
      <c r="C111" s="1">
        <f t="shared" si="10"/>
        <v>99840000</v>
      </c>
      <c r="D111" s="1">
        <v>28</v>
      </c>
      <c r="E111" s="1">
        <f t="shared" si="11"/>
        <v>457300</v>
      </c>
      <c r="F111" s="1">
        <f t="shared" si="12"/>
        <v>34</v>
      </c>
      <c r="L111" s="1">
        <v>13450</v>
      </c>
    </row>
    <row r="112" spans="1:12" x14ac:dyDescent="0.25">
      <c r="A112" s="1">
        <f t="shared" si="8"/>
        <v>175.08745193481445</v>
      </c>
      <c r="B112" s="1">
        <f t="shared" si="9"/>
        <v>175087.45193481445</v>
      </c>
      <c r="C112" s="1">
        <f t="shared" si="10"/>
        <v>99840000</v>
      </c>
      <c r="D112" s="1">
        <v>28</v>
      </c>
      <c r="E112" s="1">
        <f t="shared" si="11"/>
        <v>470750</v>
      </c>
      <c r="F112" s="1">
        <f t="shared" si="12"/>
        <v>35</v>
      </c>
      <c r="L112" s="1">
        <v>13450</v>
      </c>
    </row>
    <row r="113" spans="1:12" x14ac:dyDescent="0.25">
      <c r="A113" s="1">
        <f t="shared" si="8"/>
        <v>180.08995056152344</v>
      </c>
      <c r="B113" s="1">
        <f t="shared" si="9"/>
        <v>180089.95056152344</v>
      </c>
      <c r="C113" s="1">
        <f t="shared" si="10"/>
        <v>99840000</v>
      </c>
      <c r="D113" s="1">
        <v>28</v>
      </c>
      <c r="E113" s="1">
        <f t="shared" si="11"/>
        <v>484200</v>
      </c>
      <c r="F113" s="1">
        <f t="shared" si="12"/>
        <v>36</v>
      </c>
      <c r="L113" s="1">
        <v>13450</v>
      </c>
    </row>
    <row r="114" spans="1:12" x14ac:dyDescent="0.25">
      <c r="A114" s="1">
        <f t="shared" si="8"/>
        <v>185.09244918823242</v>
      </c>
      <c r="B114" s="1">
        <f t="shared" si="9"/>
        <v>185092.44918823242</v>
      </c>
      <c r="C114" s="1">
        <f t="shared" si="10"/>
        <v>99840000</v>
      </c>
      <c r="D114" s="1">
        <v>28</v>
      </c>
      <c r="E114" s="1">
        <f t="shared" si="11"/>
        <v>497650</v>
      </c>
      <c r="F114" s="1">
        <f t="shared" si="12"/>
        <v>37</v>
      </c>
      <c r="L114" s="1">
        <v>13450</v>
      </c>
    </row>
    <row r="115" spans="1:12" x14ac:dyDescent="0.25">
      <c r="A115" s="1">
        <f t="shared" si="8"/>
        <v>190.09494781494141</v>
      </c>
      <c r="B115" s="1">
        <f t="shared" si="9"/>
        <v>190094.94781494141</v>
      </c>
      <c r="C115" s="1">
        <f t="shared" si="10"/>
        <v>99840000</v>
      </c>
      <c r="D115" s="1">
        <v>28</v>
      </c>
      <c r="E115" s="1">
        <f t="shared" si="11"/>
        <v>511100</v>
      </c>
      <c r="F115" s="1">
        <f t="shared" si="12"/>
        <v>38</v>
      </c>
      <c r="L115" s="1">
        <v>13450</v>
      </c>
    </row>
    <row r="116" spans="1:12" x14ac:dyDescent="0.25">
      <c r="A116" s="1">
        <f t="shared" si="8"/>
        <v>195.09744644165039</v>
      </c>
      <c r="B116" s="1">
        <f t="shared" si="9"/>
        <v>195097.44644165039</v>
      </c>
      <c r="C116" s="1">
        <f t="shared" si="10"/>
        <v>99840000</v>
      </c>
      <c r="D116" s="1">
        <v>28</v>
      </c>
      <c r="E116" s="1">
        <f t="shared" si="11"/>
        <v>524550</v>
      </c>
      <c r="F116" s="1">
        <f t="shared" si="12"/>
        <v>39</v>
      </c>
      <c r="L116" s="1">
        <v>13450</v>
      </c>
    </row>
    <row r="117" spans="1:12" x14ac:dyDescent="0.25">
      <c r="A117" s="1">
        <f t="shared" si="8"/>
        <v>200.09994506835938</v>
      </c>
      <c r="B117" s="1">
        <f t="shared" si="9"/>
        <v>200099.94506835938</v>
      </c>
      <c r="C117" s="1">
        <f t="shared" si="10"/>
        <v>99840000</v>
      </c>
      <c r="D117" s="1">
        <v>28</v>
      </c>
      <c r="E117" s="1">
        <f t="shared" si="11"/>
        <v>538000</v>
      </c>
      <c r="F117" s="1">
        <f t="shared" si="12"/>
        <v>40</v>
      </c>
      <c r="L117" s="1">
        <v>13450</v>
      </c>
    </row>
    <row r="118" spans="1:12" x14ac:dyDescent="0.25">
      <c r="A118" s="1">
        <f t="shared" si="8"/>
        <v>205.10244369506836</v>
      </c>
      <c r="B118" s="1">
        <f t="shared" si="9"/>
        <v>205102.44369506836</v>
      </c>
      <c r="C118" s="1">
        <f t="shared" si="10"/>
        <v>99840000</v>
      </c>
      <c r="D118" s="1">
        <v>28</v>
      </c>
      <c r="E118" s="1">
        <f t="shared" si="11"/>
        <v>551450</v>
      </c>
      <c r="F118" s="1">
        <f t="shared" si="12"/>
        <v>41</v>
      </c>
      <c r="L118" s="1">
        <v>13450</v>
      </c>
    </row>
    <row r="119" spans="1:12" x14ac:dyDescent="0.25">
      <c r="A119" s="1">
        <f t="shared" si="8"/>
        <v>210.10494232177734</v>
      </c>
      <c r="B119" s="1">
        <f t="shared" si="9"/>
        <v>210104.94232177734</v>
      </c>
      <c r="C119" s="1">
        <f t="shared" si="10"/>
        <v>99840000</v>
      </c>
      <c r="D119" s="1">
        <v>28</v>
      </c>
      <c r="E119" s="1">
        <f t="shared" si="11"/>
        <v>564900</v>
      </c>
      <c r="F119" s="1">
        <f t="shared" si="12"/>
        <v>42</v>
      </c>
      <c r="L119" s="1">
        <v>13450</v>
      </c>
    </row>
    <row r="120" spans="1:12" x14ac:dyDescent="0.25">
      <c r="A120" s="1">
        <f t="shared" si="8"/>
        <v>215.10744094848633</v>
      </c>
      <c r="B120" s="1">
        <f t="shared" si="9"/>
        <v>215107.44094848633</v>
      </c>
      <c r="C120" s="1">
        <f t="shared" si="10"/>
        <v>99840000</v>
      </c>
      <c r="D120" s="1">
        <v>28</v>
      </c>
      <c r="E120" s="1">
        <f t="shared" si="11"/>
        <v>578350</v>
      </c>
      <c r="F120" s="1">
        <f t="shared" si="12"/>
        <v>43</v>
      </c>
      <c r="L120" s="1">
        <v>13450</v>
      </c>
    </row>
    <row r="121" spans="1:12" x14ac:dyDescent="0.25">
      <c r="A121" s="1">
        <f t="shared" si="8"/>
        <v>220.10993957519531</v>
      </c>
      <c r="B121" s="1">
        <f t="shared" si="9"/>
        <v>220109.93957519531</v>
      </c>
      <c r="C121" s="1">
        <f t="shared" si="10"/>
        <v>99840000</v>
      </c>
      <c r="D121" s="1">
        <v>28</v>
      </c>
      <c r="E121" s="1">
        <f t="shared" si="11"/>
        <v>591800</v>
      </c>
      <c r="F121" s="1">
        <f t="shared" si="12"/>
        <v>44</v>
      </c>
      <c r="L121" s="1">
        <v>13450</v>
      </c>
    </row>
    <row r="122" spans="1:12" x14ac:dyDescent="0.25">
      <c r="A122" s="1">
        <f t="shared" si="8"/>
        <v>225.1124382019043</v>
      </c>
      <c r="B122" s="1">
        <f t="shared" si="9"/>
        <v>225112.4382019043</v>
      </c>
      <c r="C122" s="1">
        <f t="shared" si="10"/>
        <v>99840000</v>
      </c>
      <c r="D122" s="1">
        <v>28</v>
      </c>
      <c r="E122" s="1">
        <f t="shared" si="11"/>
        <v>605250</v>
      </c>
      <c r="F122" s="1">
        <f t="shared" si="12"/>
        <v>45</v>
      </c>
      <c r="L122" s="1">
        <v>13450</v>
      </c>
    </row>
    <row r="123" spans="1:12" x14ac:dyDescent="0.25">
      <c r="A123" s="1">
        <f t="shared" si="8"/>
        <v>230.11493682861328</v>
      </c>
      <c r="B123" s="1">
        <f t="shared" si="9"/>
        <v>230114.93682861328</v>
      </c>
      <c r="C123" s="1">
        <f t="shared" si="10"/>
        <v>99840000</v>
      </c>
      <c r="D123" s="1">
        <v>28</v>
      </c>
      <c r="E123" s="1">
        <f t="shared" si="11"/>
        <v>618700</v>
      </c>
      <c r="F123" s="1">
        <f t="shared" si="12"/>
        <v>46</v>
      </c>
      <c r="L123" s="1">
        <v>13450</v>
      </c>
    </row>
    <row r="124" spans="1:12" x14ac:dyDescent="0.25">
      <c r="A124" s="1">
        <f t="shared" si="8"/>
        <v>235.11743545532227</v>
      </c>
      <c r="B124" s="1">
        <f t="shared" si="9"/>
        <v>235117.43545532227</v>
      </c>
      <c r="C124" s="1">
        <f t="shared" si="10"/>
        <v>99840000</v>
      </c>
      <c r="D124" s="1">
        <v>28</v>
      </c>
      <c r="E124" s="1">
        <f t="shared" si="11"/>
        <v>632150</v>
      </c>
      <c r="F124" s="1">
        <f t="shared" si="12"/>
        <v>47</v>
      </c>
      <c r="L124" s="1">
        <v>13450</v>
      </c>
    </row>
    <row r="125" spans="1:12" x14ac:dyDescent="0.25">
      <c r="A125" s="1">
        <f t="shared" si="8"/>
        <v>240.11993408203125</v>
      </c>
      <c r="B125" s="1">
        <f t="shared" si="9"/>
        <v>240119.93408203125</v>
      </c>
      <c r="C125" s="1">
        <f t="shared" si="10"/>
        <v>99840000</v>
      </c>
      <c r="D125" s="1">
        <v>28</v>
      </c>
      <c r="E125" s="1">
        <f t="shared" si="11"/>
        <v>645600</v>
      </c>
      <c r="F125" s="1">
        <f t="shared" si="12"/>
        <v>48</v>
      </c>
      <c r="L125" s="1">
        <v>13450</v>
      </c>
    </row>
    <row r="126" spans="1:12" x14ac:dyDescent="0.25">
      <c r="A126" s="1">
        <f t="shared" si="8"/>
        <v>245.12243270874023</v>
      </c>
      <c r="B126" s="1">
        <f t="shared" si="9"/>
        <v>245122.43270874023</v>
      </c>
      <c r="C126" s="1">
        <f t="shared" si="10"/>
        <v>99840000</v>
      </c>
      <c r="D126" s="1">
        <v>28</v>
      </c>
      <c r="E126" s="1">
        <f t="shared" si="11"/>
        <v>659050</v>
      </c>
      <c r="F126" s="1">
        <f t="shared" si="12"/>
        <v>49</v>
      </c>
      <c r="L126" s="1">
        <v>13450</v>
      </c>
    </row>
    <row r="127" spans="1:12" x14ac:dyDescent="0.25">
      <c r="A127" s="1">
        <f t="shared" si="8"/>
        <v>250.12493133544922</v>
      </c>
      <c r="B127" s="1">
        <f t="shared" si="9"/>
        <v>250124.93133544922</v>
      </c>
      <c r="C127" s="1">
        <f t="shared" si="10"/>
        <v>99840000</v>
      </c>
      <c r="D127" s="1">
        <v>28</v>
      </c>
      <c r="E127" s="1">
        <f t="shared" si="11"/>
        <v>672500</v>
      </c>
      <c r="F127" s="1">
        <f t="shared" si="12"/>
        <v>50</v>
      </c>
      <c r="L127" s="1">
        <v>13450</v>
      </c>
    </row>
    <row r="128" spans="1:12" x14ac:dyDescent="0.25">
      <c r="A128" s="1">
        <f t="shared" si="8"/>
        <v>255.1274299621582</v>
      </c>
      <c r="B128" s="1">
        <f t="shared" si="9"/>
        <v>255127.4299621582</v>
      </c>
      <c r="C128" s="1">
        <f t="shared" si="10"/>
        <v>99840000</v>
      </c>
      <c r="D128" s="1">
        <v>28</v>
      </c>
      <c r="E128" s="1">
        <f t="shared" si="11"/>
        <v>685950</v>
      </c>
      <c r="F128" s="1">
        <f t="shared" si="12"/>
        <v>51</v>
      </c>
      <c r="L128" s="1">
        <v>13450</v>
      </c>
    </row>
    <row r="129" spans="1:12" x14ac:dyDescent="0.25">
      <c r="A129" s="1">
        <f t="shared" si="8"/>
        <v>260.12992858886719</v>
      </c>
      <c r="B129" s="1">
        <f t="shared" si="9"/>
        <v>260129.92858886719</v>
      </c>
      <c r="C129" s="1">
        <f t="shared" si="10"/>
        <v>99840000</v>
      </c>
      <c r="D129" s="1">
        <v>28</v>
      </c>
      <c r="E129" s="1">
        <f t="shared" si="11"/>
        <v>699400</v>
      </c>
      <c r="F129" s="1">
        <f t="shared" si="12"/>
        <v>52</v>
      </c>
      <c r="L129" s="1">
        <v>13450</v>
      </c>
    </row>
    <row r="130" spans="1:12" x14ac:dyDescent="0.25">
      <c r="A130" s="1">
        <f t="shared" si="8"/>
        <v>265.13242721557617</v>
      </c>
      <c r="B130" s="1">
        <f t="shared" si="9"/>
        <v>265132.42721557617</v>
      </c>
      <c r="C130" s="1">
        <f t="shared" si="10"/>
        <v>99840000</v>
      </c>
      <c r="D130" s="1">
        <v>28</v>
      </c>
      <c r="E130" s="1">
        <f t="shared" si="11"/>
        <v>712850</v>
      </c>
      <c r="F130" s="1">
        <f t="shared" si="12"/>
        <v>53</v>
      </c>
      <c r="L130" s="1">
        <v>13450</v>
      </c>
    </row>
    <row r="131" spans="1:12" x14ac:dyDescent="0.25">
      <c r="A131" s="1">
        <f t="shared" si="8"/>
        <v>270.13492584228516</v>
      </c>
      <c r="B131" s="1">
        <f t="shared" si="9"/>
        <v>270134.92584228516</v>
      </c>
      <c r="C131" s="1">
        <f t="shared" si="10"/>
        <v>99840000</v>
      </c>
      <c r="D131" s="1">
        <v>28</v>
      </c>
      <c r="E131" s="1">
        <f t="shared" si="11"/>
        <v>726300</v>
      </c>
      <c r="F131" s="1">
        <f t="shared" si="12"/>
        <v>54</v>
      </c>
      <c r="L131" s="1">
        <v>13450</v>
      </c>
    </row>
    <row r="132" spans="1:12" x14ac:dyDescent="0.25">
      <c r="A132" s="1">
        <f t="shared" si="8"/>
        <v>275.13742446899414</v>
      </c>
      <c r="B132" s="1">
        <f t="shared" si="9"/>
        <v>275137.42446899414</v>
      </c>
      <c r="C132" s="1">
        <f t="shared" si="10"/>
        <v>99840000</v>
      </c>
      <c r="D132" s="1">
        <v>28</v>
      </c>
      <c r="E132" s="1">
        <f t="shared" si="11"/>
        <v>739750</v>
      </c>
      <c r="F132" s="1">
        <f t="shared" si="12"/>
        <v>55</v>
      </c>
      <c r="L132" s="1">
        <v>13450</v>
      </c>
    </row>
    <row r="133" spans="1:12" x14ac:dyDescent="0.25">
      <c r="A133" s="1">
        <f t="shared" si="8"/>
        <v>280.13992309570313</v>
      </c>
      <c r="B133" s="1">
        <f t="shared" si="9"/>
        <v>280139.92309570313</v>
      </c>
      <c r="C133" s="1">
        <f t="shared" si="10"/>
        <v>99840000</v>
      </c>
      <c r="D133" s="1">
        <v>28</v>
      </c>
      <c r="E133" s="1">
        <f t="shared" si="11"/>
        <v>753200</v>
      </c>
      <c r="F133" s="1">
        <f t="shared" si="12"/>
        <v>56</v>
      </c>
      <c r="L133" s="1">
        <v>13450</v>
      </c>
    </row>
    <row r="134" spans="1:12" x14ac:dyDescent="0.25">
      <c r="A134" s="1">
        <f t="shared" si="8"/>
        <v>285.14242172241211</v>
      </c>
      <c r="B134" s="1">
        <f t="shared" si="9"/>
        <v>285142.42172241211</v>
      </c>
      <c r="C134" s="1">
        <f t="shared" si="10"/>
        <v>99840000</v>
      </c>
      <c r="D134" s="1">
        <v>28</v>
      </c>
      <c r="E134" s="1">
        <f t="shared" si="11"/>
        <v>766650</v>
      </c>
      <c r="F134" s="1">
        <f t="shared" si="12"/>
        <v>57</v>
      </c>
      <c r="L134" s="1">
        <v>13450</v>
      </c>
    </row>
    <row r="135" spans="1:12" x14ac:dyDescent="0.25">
      <c r="A135" s="1">
        <f t="shared" si="8"/>
        <v>290.14492034912109</v>
      </c>
      <c r="B135" s="1">
        <f t="shared" si="9"/>
        <v>290144.92034912109</v>
      </c>
      <c r="C135" s="1">
        <f t="shared" si="10"/>
        <v>99840000</v>
      </c>
      <c r="D135" s="1">
        <v>28</v>
      </c>
      <c r="E135" s="1">
        <f t="shared" si="11"/>
        <v>780100</v>
      </c>
      <c r="F135" s="1">
        <f t="shared" si="12"/>
        <v>58</v>
      </c>
      <c r="L135" s="1">
        <v>13450</v>
      </c>
    </row>
    <row r="136" spans="1:12" x14ac:dyDescent="0.25">
      <c r="A136" s="1">
        <f t="shared" si="8"/>
        <v>295.14741897583008</v>
      </c>
      <c r="B136" s="1">
        <f t="shared" si="9"/>
        <v>295147.41897583008</v>
      </c>
      <c r="C136" s="1">
        <f t="shared" si="10"/>
        <v>99840000</v>
      </c>
      <c r="D136" s="1">
        <v>28</v>
      </c>
      <c r="E136" s="1">
        <f t="shared" si="11"/>
        <v>793550</v>
      </c>
      <c r="F136" s="1">
        <f t="shared" si="12"/>
        <v>59</v>
      </c>
      <c r="L136" s="1">
        <v>13450</v>
      </c>
    </row>
    <row r="137" spans="1:12" x14ac:dyDescent="0.25">
      <c r="A137" s="1">
        <f t="shared" si="8"/>
        <v>300.14991760253906</v>
      </c>
      <c r="B137" s="1">
        <f t="shared" si="9"/>
        <v>300149.91760253906</v>
      </c>
      <c r="C137" s="1">
        <f t="shared" si="10"/>
        <v>99840000</v>
      </c>
      <c r="D137" s="1">
        <v>28</v>
      </c>
      <c r="E137" s="1">
        <f t="shared" si="11"/>
        <v>807000</v>
      </c>
      <c r="F137" s="1">
        <f t="shared" si="12"/>
        <v>60</v>
      </c>
      <c r="L137" s="1">
        <v>13450</v>
      </c>
    </row>
    <row r="138" spans="1:12" x14ac:dyDescent="0.25">
      <c r="A138" s="1">
        <f t="shared" si="8"/>
        <v>305.15241622924805</v>
      </c>
      <c r="B138" s="1">
        <f t="shared" si="9"/>
        <v>305152.41622924805</v>
      </c>
      <c r="C138" s="1">
        <f t="shared" si="10"/>
        <v>99840000</v>
      </c>
      <c r="D138" s="1">
        <v>28</v>
      </c>
      <c r="E138" s="1">
        <f t="shared" si="11"/>
        <v>820450</v>
      </c>
      <c r="F138" s="1">
        <f t="shared" si="12"/>
        <v>61</v>
      </c>
      <c r="L138" s="1">
        <v>13450</v>
      </c>
    </row>
    <row r="139" spans="1:12" x14ac:dyDescent="0.25">
      <c r="A139" s="1">
        <f t="shared" si="8"/>
        <v>310.15491485595703</v>
      </c>
      <c r="B139" s="1">
        <f t="shared" si="9"/>
        <v>310154.91485595703</v>
      </c>
      <c r="C139" s="1">
        <f t="shared" si="10"/>
        <v>99840000</v>
      </c>
      <c r="D139" s="1">
        <v>28</v>
      </c>
      <c r="E139" s="1">
        <f t="shared" si="11"/>
        <v>833900</v>
      </c>
      <c r="F139" s="1">
        <f t="shared" si="12"/>
        <v>62</v>
      </c>
      <c r="L139" s="1">
        <v>13450</v>
      </c>
    </row>
    <row r="140" spans="1:12" x14ac:dyDescent="0.25">
      <c r="A140" s="1">
        <f t="shared" si="8"/>
        <v>315.15741348266602</v>
      </c>
      <c r="B140" s="1">
        <f t="shared" si="9"/>
        <v>315157.41348266602</v>
      </c>
      <c r="C140" s="1">
        <f t="shared" si="10"/>
        <v>99840000</v>
      </c>
      <c r="D140" s="1">
        <v>28</v>
      </c>
      <c r="E140" s="1">
        <f t="shared" si="11"/>
        <v>847350</v>
      </c>
      <c r="F140" s="1">
        <f t="shared" si="12"/>
        <v>63</v>
      </c>
      <c r="L140" s="1">
        <v>13450</v>
      </c>
    </row>
    <row r="141" spans="1:12" x14ac:dyDescent="0.25">
      <c r="A141" s="1">
        <f t="shared" si="8"/>
        <v>320.159912109375</v>
      </c>
      <c r="B141" s="1">
        <f t="shared" si="9"/>
        <v>320159.912109375</v>
      </c>
      <c r="C141" s="1">
        <f t="shared" si="10"/>
        <v>99840000</v>
      </c>
      <c r="D141" s="1">
        <v>28</v>
      </c>
      <c r="E141" s="1">
        <f t="shared" si="11"/>
        <v>860800</v>
      </c>
      <c r="F141" s="1">
        <f t="shared" si="12"/>
        <v>64</v>
      </c>
      <c r="L141" s="1">
        <v>13450</v>
      </c>
    </row>
    <row r="142" spans="1:12" x14ac:dyDescent="0.25">
      <c r="A142" s="1">
        <f t="shared" si="8"/>
        <v>325.16241073608398</v>
      </c>
      <c r="B142" s="1">
        <f t="shared" si="9"/>
        <v>325162.41073608398</v>
      </c>
      <c r="C142" s="1">
        <f t="shared" si="10"/>
        <v>99840000</v>
      </c>
      <c r="D142" s="1">
        <v>28</v>
      </c>
      <c r="E142" s="1">
        <f t="shared" si="11"/>
        <v>874250</v>
      </c>
      <c r="F142" s="1">
        <f t="shared" si="12"/>
        <v>65</v>
      </c>
      <c r="L142" s="1">
        <v>13450</v>
      </c>
    </row>
    <row r="143" spans="1:12" x14ac:dyDescent="0.25">
      <c r="A143" s="1">
        <f t="shared" ref="A143:A177" si="13">B143/10^3</f>
        <v>330.16490936279297</v>
      </c>
      <c r="B143" s="1">
        <f t="shared" ref="B143:B177" si="14">(E143/2^D143)*C143</f>
        <v>330164.90936279297</v>
      </c>
      <c r="C143" s="1">
        <f t="shared" ref="C143:C177" si="15">99.84*10^6</f>
        <v>99840000</v>
      </c>
      <c r="D143" s="1">
        <v>28</v>
      </c>
      <c r="E143" s="1">
        <f t="shared" ref="E143:E176" si="16">L143*F143</f>
        <v>887700</v>
      </c>
      <c r="F143" s="1">
        <f t="shared" si="12"/>
        <v>66</v>
      </c>
      <c r="L143" s="1">
        <v>13450</v>
      </c>
    </row>
    <row r="144" spans="1:12" x14ac:dyDescent="0.25">
      <c r="A144" s="1">
        <f t="shared" si="13"/>
        <v>335.16740798950195</v>
      </c>
      <c r="B144" s="1">
        <f t="shared" si="14"/>
        <v>335167.40798950195</v>
      </c>
      <c r="C144" s="1">
        <f t="shared" si="15"/>
        <v>99840000</v>
      </c>
      <c r="D144" s="1">
        <v>28</v>
      </c>
      <c r="E144" s="1">
        <f t="shared" si="16"/>
        <v>901150</v>
      </c>
      <c r="F144" s="1">
        <f t="shared" ref="F144:F177" si="17">F143+1</f>
        <v>67</v>
      </c>
      <c r="L144" s="1">
        <v>13450</v>
      </c>
    </row>
    <row r="145" spans="1:12" x14ac:dyDescent="0.25">
      <c r="A145" s="1">
        <f t="shared" si="13"/>
        <v>340.16990661621094</v>
      </c>
      <c r="B145" s="1">
        <f t="shared" si="14"/>
        <v>340169.90661621094</v>
      </c>
      <c r="C145" s="1">
        <f t="shared" si="15"/>
        <v>99840000</v>
      </c>
      <c r="D145" s="1">
        <v>28</v>
      </c>
      <c r="E145" s="1">
        <f t="shared" si="16"/>
        <v>914600</v>
      </c>
      <c r="F145" s="1">
        <f t="shared" si="17"/>
        <v>68</v>
      </c>
      <c r="L145" s="1">
        <v>13450</v>
      </c>
    </row>
    <row r="146" spans="1:12" x14ac:dyDescent="0.25">
      <c r="A146" s="1">
        <f t="shared" si="13"/>
        <v>345.17240524291992</v>
      </c>
      <c r="B146" s="1">
        <f t="shared" si="14"/>
        <v>345172.40524291992</v>
      </c>
      <c r="C146" s="1">
        <f t="shared" si="15"/>
        <v>99840000</v>
      </c>
      <c r="D146" s="1">
        <v>28</v>
      </c>
      <c r="E146" s="1">
        <f t="shared" si="16"/>
        <v>928050</v>
      </c>
      <c r="F146" s="1">
        <f t="shared" si="17"/>
        <v>69</v>
      </c>
      <c r="L146" s="1">
        <v>13450</v>
      </c>
    </row>
    <row r="147" spans="1:12" x14ac:dyDescent="0.25">
      <c r="A147" s="1">
        <f t="shared" si="13"/>
        <v>350.17490386962891</v>
      </c>
      <c r="B147" s="1">
        <f t="shared" si="14"/>
        <v>350174.90386962891</v>
      </c>
      <c r="C147" s="1">
        <f t="shared" si="15"/>
        <v>99840000</v>
      </c>
      <c r="D147" s="1">
        <v>28</v>
      </c>
      <c r="E147" s="1">
        <f t="shared" si="16"/>
        <v>941500</v>
      </c>
      <c r="F147" s="1">
        <f t="shared" si="17"/>
        <v>70</v>
      </c>
      <c r="L147" s="1">
        <v>13450</v>
      </c>
    </row>
    <row r="148" spans="1:12" x14ac:dyDescent="0.25">
      <c r="A148" s="1">
        <f t="shared" si="13"/>
        <v>355.17740249633789</v>
      </c>
      <c r="B148" s="1">
        <f t="shared" si="14"/>
        <v>355177.40249633789</v>
      </c>
      <c r="C148" s="1">
        <f t="shared" si="15"/>
        <v>99840000</v>
      </c>
      <c r="D148" s="1">
        <v>28</v>
      </c>
      <c r="E148" s="1">
        <f t="shared" si="16"/>
        <v>954950</v>
      </c>
      <c r="F148" s="1">
        <f t="shared" si="17"/>
        <v>71</v>
      </c>
      <c r="L148" s="1">
        <v>13450</v>
      </c>
    </row>
    <row r="149" spans="1:12" x14ac:dyDescent="0.25">
      <c r="A149" s="1">
        <f t="shared" si="13"/>
        <v>360.17990112304688</v>
      </c>
      <c r="B149" s="1">
        <f t="shared" si="14"/>
        <v>360179.90112304688</v>
      </c>
      <c r="C149" s="1">
        <f t="shared" si="15"/>
        <v>99840000</v>
      </c>
      <c r="D149" s="1">
        <v>28</v>
      </c>
      <c r="E149" s="1">
        <f t="shared" si="16"/>
        <v>968400</v>
      </c>
      <c r="F149" s="1">
        <f t="shared" si="17"/>
        <v>72</v>
      </c>
      <c r="L149" s="1">
        <v>13450</v>
      </c>
    </row>
    <row r="150" spans="1:12" x14ac:dyDescent="0.25">
      <c r="A150" s="1">
        <f t="shared" si="13"/>
        <v>365.18239974975586</v>
      </c>
      <c r="B150" s="1">
        <f t="shared" si="14"/>
        <v>365182.39974975586</v>
      </c>
      <c r="C150" s="1">
        <f t="shared" si="15"/>
        <v>99840000</v>
      </c>
      <c r="D150" s="1">
        <v>28</v>
      </c>
      <c r="E150" s="1">
        <f t="shared" si="16"/>
        <v>981850</v>
      </c>
      <c r="F150" s="1">
        <f t="shared" si="17"/>
        <v>73</v>
      </c>
      <c r="L150" s="1">
        <v>13450</v>
      </c>
    </row>
    <row r="151" spans="1:12" x14ac:dyDescent="0.25">
      <c r="A151" s="1">
        <f t="shared" si="13"/>
        <v>370.18489837646484</v>
      </c>
      <c r="B151" s="1">
        <f t="shared" si="14"/>
        <v>370184.89837646484</v>
      </c>
      <c r="C151" s="1">
        <f t="shared" si="15"/>
        <v>99840000</v>
      </c>
      <c r="D151" s="1">
        <v>28</v>
      </c>
      <c r="E151" s="1">
        <f t="shared" si="16"/>
        <v>995300</v>
      </c>
      <c r="F151" s="1">
        <f t="shared" si="17"/>
        <v>74</v>
      </c>
      <c r="L151" s="1">
        <v>13450</v>
      </c>
    </row>
    <row r="152" spans="1:12" x14ac:dyDescent="0.25">
      <c r="A152" s="1">
        <f t="shared" si="13"/>
        <v>375.18739700317383</v>
      </c>
      <c r="B152" s="1">
        <f t="shared" si="14"/>
        <v>375187.39700317383</v>
      </c>
      <c r="C152" s="1">
        <f t="shared" si="15"/>
        <v>99840000</v>
      </c>
      <c r="D152" s="1">
        <v>28</v>
      </c>
      <c r="E152" s="1">
        <f t="shared" si="16"/>
        <v>1008750</v>
      </c>
      <c r="F152" s="1">
        <f t="shared" si="17"/>
        <v>75</v>
      </c>
      <c r="L152" s="1">
        <v>13450</v>
      </c>
    </row>
    <row r="153" spans="1:12" x14ac:dyDescent="0.25">
      <c r="A153" s="1">
        <f t="shared" si="13"/>
        <v>380.18989562988281</v>
      </c>
      <c r="B153" s="1">
        <f t="shared" si="14"/>
        <v>380189.89562988281</v>
      </c>
      <c r="C153" s="1">
        <f t="shared" si="15"/>
        <v>99840000</v>
      </c>
      <c r="D153" s="1">
        <v>28</v>
      </c>
      <c r="E153" s="1">
        <f t="shared" si="16"/>
        <v>1022200</v>
      </c>
      <c r="F153" s="1">
        <f t="shared" si="17"/>
        <v>76</v>
      </c>
      <c r="L153" s="1">
        <v>13450</v>
      </c>
    </row>
    <row r="154" spans="1:12" x14ac:dyDescent="0.25">
      <c r="A154" s="1">
        <f t="shared" si="13"/>
        <v>385.1923942565918</v>
      </c>
      <c r="B154" s="1">
        <f t="shared" si="14"/>
        <v>385192.3942565918</v>
      </c>
      <c r="C154" s="1">
        <f t="shared" si="15"/>
        <v>99840000</v>
      </c>
      <c r="D154" s="1">
        <v>28</v>
      </c>
      <c r="E154" s="1">
        <f t="shared" si="16"/>
        <v>1035650</v>
      </c>
      <c r="F154" s="1">
        <f t="shared" si="17"/>
        <v>77</v>
      </c>
      <c r="L154" s="1">
        <v>13450</v>
      </c>
    </row>
    <row r="155" spans="1:12" x14ac:dyDescent="0.25">
      <c r="A155" s="1">
        <f t="shared" si="13"/>
        <v>390.19489288330078</v>
      </c>
      <c r="B155" s="1">
        <f t="shared" si="14"/>
        <v>390194.89288330078</v>
      </c>
      <c r="C155" s="1">
        <f t="shared" si="15"/>
        <v>99840000</v>
      </c>
      <c r="D155" s="1">
        <v>28</v>
      </c>
      <c r="E155" s="1">
        <f t="shared" si="16"/>
        <v>1049100</v>
      </c>
      <c r="F155" s="1">
        <f t="shared" si="17"/>
        <v>78</v>
      </c>
      <c r="L155" s="1">
        <v>13450</v>
      </c>
    </row>
    <row r="156" spans="1:12" x14ac:dyDescent="0.25">
      <c r="A156" s="1">
        <f t="shared" si="13"/>
        <v>395.19739151000977</v>
      </c>
      <c r="B156" s="1">
        <f t="shared" si="14"/>
        <v>395197.39151000977</v>
      </c>
      <c r="C156" s="1">
        <f t="shared" si="15"/>
        <v>99840000</v>
      </c>
      <c r="D156" s="1">
        <v>28</v>
      </c>
      <c r="E156" s="1">
        <f t="shared" si="16"/>
        <v>1062550</v>
      </c>
      <c r="F156" s="1">
        <f t="shared" si="17"/>
        <v>79</v>
      </c>
      <c r="L156" s="1">
        <v>13450</v>
      </c>
    </row>
    <row r="157" spans="1:12" x14ac:dyDescent="0.25">
      <c r="A157" s="1">
        <f t="shared" si="13"/>
        <v>400.19989013671875</v>
      </c>
      <c r="B157" s="1">
        <f t="shared" si="14"/>
        <v>400199.89013671875</v>
      </c>
      <c r="C157" s="1">
        <f t="shared" si="15"/>
        <v>99840000</v>
      </c>
      <c r="D157" s="1">
        <v>28</v>
      </c>
      <c r="E157" s="1">
        <f t="shared" si="16"/>
        <v>1076000</v>
      </c>
      <c r="F157" s="1">
        <f t="shared" si="17"/>
        <v>80</v>
      </c>
      <c r="L157" s="1">
        <v>13450</v>
      </c>
    </row>
    <row r="158" spans="1:12" x14ac:dyDescent="0.25">
      <c r="A158" s="1">
        <f t="shared" si="13"/>
        <v>405.20238876342773</v>
      </c>
      <c r="B158" s="1">
        <f t="shared" si="14"/>
        <v>405202.38876342773</v>
      </c>
      <c r="C158" s="1">
        <f t="shared" si="15"/>
        <v>99840000</v>
      </c>
      <c r="D158" s="1">
        <v>28</v>
      </c>
      <c r="E158" s="1">
        <f t="shared" si="16"/>
        <v>1089450</v>
      </c>
      <c r="F158" s="1">
        <f t="shared" si="17"/>
        <v>81</v>
      </c>
      <c r="L158" s="1">
        <v>13450</v>
      </c>
    </row>
    <row r="159" spans="1:12" x14ac:dyDescent="0.25">
      <c r="A159" s="1">
        <f t="shared" si="13"/>
        <v>410.20488739013672</v>
      </c>
      <c r="B159" s="1">
        <f t="shared" si="14"/>
        <v>410204.88739013672</v>
      </c>
      <c r="C159" s="1">
        <f t="shared" si="15"/>
        <v>99840000</v>
      </c>
      <c r="D159" s="1">
        <v>28</v>
      </c>
      <c r="E159" s="1">
        <f t="shared" si="16"/>
        <v>1102900</v>
      </c>
      <c r="F159" s="1">
        <f t="shared" si="17"/>
        <v>82</v>
      </c>
      <c r="L159" s="1">
        <v>13450</v>
      </c>
    </row>
    <row r="160" spans="1:12" x14ac:dyDescent="0.25">
      <c r="A160" s="1">
        <f t="shared" si="13"/>
        <v>415.2073860168457</v>
      </c>
      <c r="B160" s="1">
        <f t="shared" si="14"/>
        <v>415207.3860168457</v>
      </c>
      <c r="C160" s="1">
        <f t="shared" si="15"/>
        <v>99840000</v>
      </c>
      <c r="D160" s="1">
        <v>28</v>
      </c>
      <c r="E160" s="1">
        <f t="shared" si="16"/>
        <v>1116350</v>
      </c>
      <c r="F160" s="1">
        <f t="shared" si="17"/>
        <v>83</v>
      </c>
      <c r="L160" s="1">
        <v>13450</v>
      </c>
    </row>
    <row r="161" spans="1:12" x14ac:dyDescent="0.25">
      <c r="A161" s="1">
        <f t="shared" si="13"/>
        <v>420.20988464355469</v>
      </c>
      <c r="B161" s="1">
        <f t="shared" si="14"/>
        <v>420209.88464355469</v>
      </c>
      <c r="C161" s="1">
        <f t="shared" si="15"/>
        <v>99840000</v>
      </c>
      <c r="D161" s="1">
        <v>28</v>
      </c>
      <c r="E161" s="1">
        <f t="shared" si="16"/>
        <v>1129800</v>
      </c>
      <c r="F161" s="1">
        <f t="shared" si="17"/>
        <v>84</v>
      </c>
      <c r="L161" s="1">
        <v>13450</v>
      </c>
    </row>
    <row r="162" spans="1:12" x14ac:dyDescent="0.25">
      <c r="A162" s="1">
        <f t="shared" si="13"/>
        <v>425.21238327026367</v>
      </c>
      <c r="B162" s="1">
        <f t="shared" si="14"/>
        <v>425212.38327026367</v>
      </c>
      <c r="C162" s="1">
        <f t="shared" si="15"/>
        <v>99840000</v>
      </c>
      <c r="D162" s="1">
        <v>28</v>
      </c>
      <c r="E162" s="1">
        <f t="shared" si="16"/>
        <v>1143250</v>
      </c>
      <c r="F162" s="1">
        <f t="shared" si="17"/>
        <v>85</v>
      </c>
      <c r="L162" s="1">
        <v>13450</v>
      </c>
    </row>
    <row r="163" spans="1:12" x14ac:dyDescent="0.25">
      <c r="A163" s="1">
        <f t="shared" si="13"/>
        <v>430.21488189697266</v>
      </c>
      <c r="B163" s="1">
        <f t="shared" si="14"/>
        <v>430214.88189697266</v>
      </c>
      <c r="C163" s="1">
        <f t="shared" si="15"/>
        <v>99840000</v>
      </c>
      <c r="D163" s="1">
        <v>28</v>
      </c>
      <c r="E163" s="1">
        <f t="shared" si="16"/>
        <v>1156700</v>
      </c>
      <c r="F163" s="1">
        <f t="shared" si="17"/>
        <v>86</v>
      </c>
      <c r="L163" s="1">
        <v>13450</v>
      </c>
    </row>
    <row r="164" spans="1:12" x14ac:dyDescent="0.25">
      <c r="A164" s="1">
        <f t="shared" si="13"/>
        <v>435.21738052368164</v>
      </c>
      <c r="B164" s="1">
        <f t="shared" si="14"/>
        <v>435217.38052368164</v>
      </c>
      <c r="C164" s="1">
        <f t="shared" si="15"/>
        <v>99840000</v>
      </c>
      <c r="D164" s="1">
        <v>28</v>
      </c>
      <c r="E164" s="1">
        <f t="shared" si="16"/>
        <v>1170150</v>
      </c>
      <c r="F164" s="1">
        <f t="shared" si="17"/>
        <v>87</v>
      </c>
      <c r="L164" s="1">
        <v>13450</v>
      </c>
    </row>
    <row r="165" spans="1:12" x14ac:dyDescent="0.25">
      <c r="A165" s="1">
        <f t="shared" si="13"/>
        <v>440.21987915039063</v>
      </c>
      <c r="B165" s="1">
        <f t="shared" si="14"/>
        <v>440219.87915039063</v>
      </c>
      <c r="C165" s="1">
        <f t="shared" si="15"/>
        <v>99840000</v>
      </c>
      <c r="D165" s="1">
        <v>28</v>
      </c>
      <c r="E165" s="1">
        <f t="shared" si="16"/>
        <v>1183600</v>
      </c>
      <c r="F165" s="1">
        <f t="shared" si="17"/>
        <v>88</v>
      </c>
      <c r="L165" s="1">
        <v>13450</v>
      </c>
    </row>
    <row r="166" spans="1:12" x14ac:dyDescent="0.25">
      <c r="A166" s="1">
        <f t="shared" si="13"/>
        <v>445.22237777709961</v>
      </c>
      <c r="B166" s="1">
        <f t="shared" si="14"/>
        <v>445222.37777709961</v>
      </c>
      <c r="C166" s="1">
        <f t="shared" si="15"/>
        <v>99840000</v>
      </c>
      <c r="D166" s="1">
        <v>28</v>
      </c>
      <c r="E166" s="1">
        <f t="shared" si="16"/>
        <v>1197050</v>
      </c>
      <c r="F166" s="1">
        <f t="shared" si="17"/>
        <v>89</v>
      </c>
      <c r="L166" s="1">
        <v>13450</v>
      </c>
    </row>
    <row r="167" spans="1:12" x14ac:dyDescent="0.25">
      <c r="A167" s="1">
        <f t="shared" si="13"/>
        <v>450.22487640380859</v>
      </c>
      <c r="B167" s="1">
        <f t="shared" si="14"/>
        <v>450224.87640380859</v>
      </c>
      <c r="C167" s="1">
        <f t="shared" si="15"/>
        <v>99840000</v>
      </c>
      <c r="D167" s="1">
        <v>28</v>
      </c>
      <c r="E167" s="1">
        <f t="shared" si="16"/>
        <v>1210500</v>
      </c>
      <c r="F167" s="1">
        <f t="shared" si="17"/>
        <v>90</v>
      </c>
      <c r="L167" s="1">
        <v>13450</v>
      </c>
    </row>
    <row r="168" spans="1:12" x14ac:dyDescent="0.25">
      <c r="A168" s="1">
        <f t="shared" si="13"/>
        <v>455.22737503051758</v>
      </c>
      <c r="B168" s="1">
        <f t="shared" si="14"/>
        <v>455227.37503051758</v>
      </c>
      <c r="C168" s="1">
        <f t="shared" si="15"/>
        <v>99840000</v>
      </c>
      <c r="D168" s="1">
        <v>28</v>
      </c>
      <c r="E168" s="1">
        <f t="shared" si="16"/>
        <v>1223950</v>
      </c>
      <c r="F168" s="1">
        <f t="shared" si="17"/>
        <v>91</v>
      </c>
      <c r="L168" s="1">
        <v>13450</v>
      </c>
    </row>
    <row r="169" spans="1:12" x14ac:dyDescent="0.25">
      <c r="A169" s="1">
        <f t="shared" si="13"/>
        <v>460.22987365722656</v>
      </c>
      <c r="B169" s="1">
        <f t="shared" si="14"/>
        <v>460229.87365722656</v>
      </c>
      <c r="C169" s="1">
        <f t="shared" si="15"/>
        <v>99840000</v>
      </c>
      <c r="D169" s="1">
        <v>28</v>
      </c>
      <c r="E169" s="1">
        <f t="shared" si="16"/>
        <v>1237400</v>
      </c>
      <c r="F169" s="1">
        <f t="shared" si="17"/>
        <v>92</v>
      </c>
      <c r="L169" s="1">
        <v>13450</v>
      </c>
    </row>
    <row r="170" spans="1:12" x14ac:dyDescent="0.25">
      <c r="A170" s="1">
        <f t="shared" si="13"/>
        <v>465.23237228393555</v>
      </c>
      <c r="B170" s="1">
        <f t="shared" si="14"/>
        <v>465232.37228393555</v>
      </c>
      <c r="C170" s="1">
        <f t="shared" si="15"/>
        <v>99840000</v>
      </c>
      <c r="D170" s="1">
        <v>28</v>
      </c>
      <c r="E170" s="1">
        <f t="shared" si="16"/>
        <v>1250850</v>
      </c>
      <c r="F170" s="1">
        <f t="shared" si="17"/>
        <v>93</v>
      </c>
      <c r="L170" s="1">
        <v>13450</v>
      </c>
    </row>
    <row r="171" spans="1:12" x14ac:dyDescent="0.25">
      <c r="A171" s="1">
        <f t="shared" si="13"/>
        <v>470.23487091064453</v>
      </c>
      <c r="B171" s="1">
        <f t="shared" si="14"/>
        <v>470234.87091064453</v>
      </c>
      <c r="C171" s="1">
        <f t="shared" si="15"/>
        <v>99840000</v>
      </c>
      <c r="D171" s="1">
        <v>28</v>
      </c>
      <c r="E171" s="1">
        <f t="shared" si="16"/>
        <v>1264300</v>
      </c>
      <c r="F171" s="1">
        <f t="shared" si="17"/>
        <v>94</v>
      </c>
      <c r="L171" s="1">
        <v>13450</v>
      </c>
    </row>
    <row r="172" spans="1:12" x14ac:dyDescent="0.25">
      <c r="A172" s="1">
        <f t="shared" si="13"/>
        <v>475.23736953735352</v>
      </c>
      <c r="B172" s="1">
        <f t="shared" si="14"/>
        <v>475237.36953735352</v>
      </c>
      <c r="C172" s="1">
        <f t="shared" si="15"/>
        <v>99840000</v>
      </c>
      <c r="D172" s="1">
        <v>28</v>
      </c>
      <c r="E172" s="1">
        <f t="shared" si="16"/>
        <v>1277750</v>
      </c>
      <c r="F172" s="1">
        <f t="shared" si="17"/>
        <v>95</v>
      </c>
      <c r="L172" s="1">
        <v>13450</v>
      </c>
    </row>
    <row r="173" spans="1:12" x14ac:dyDescent="0.25">
      <c r="A173" s="1">
        <f t="shared" si="13"/>
        <v>480.2398681640625</v>
      </c>
      <c r="B173" s="1">
        <f t="shared" si="14"/>
        <v>480239.8681640625</v>
      </c>
      <c r="C173" s="1">
        <f t="shared" si="15"/>
        <v>99840000</v>
      </c>
      <c r="D173" s="1">
        <v>28</v>
      </c>
      <c r="E173" s="1">
        <f t="shared" si="16"/>
        <v>1291200</v>
      </c>
      <c r="F173" s="1">
        <f t="shared" si="17"/>
        <v>96</v>
      </c>
      <c r="L173" s="1">
        <v>13450</v>
      </c>
    </row>
    <row r="174" spans="1:12" x14ac:dyDescent="0.25">
      <c r="A174" s="1">
        <f t="shared" si="13"/>
        <v>485.24236679077148</v>
      </c>
      <c r="B174" s="1">
        <f t="shared" si="14"/>
        <v>485242.36679077148</v>
      </c>
      <c r="C174" s="1">
        <f t="shared" si="15"/>
        <v>99840000</v>
      </c>
      <c r="D174" s="1">
        <v>28</v>
      </c>
      <c r="E174" s="1">
        <f t="shared" si="16"/>
        <v>1304650</v>
      </c>
      <c r="F174" s="1">
        <f t="shared" si="17"/>
        <v>97</v>
      </c>
      <c r="L174" s="1">
        <v>13450</v>
      </c>
    </row>
    <row r="175" spans="1:12" x14ac:dyDescent="0.25">
      <c r="A175" s="1">
        <f t="shared" si="13"/>
        <v>490.24486541748047</v>
      </c>
      <c r="B175" s="1">
        <f t="shared" si="14"/>
        <v>490244.86541748047</v>
      </c>
      <c r="C175" s="1">
        <f t="shared" si="15"/>
        <v>99840000</v>
      </c>
      <c r="D175" s="1">
        <v>28</v>
      </c>
      <c r="E175" s="1">
        <f t="shared" si="16"/>
        <v>1318100</v>
      </c>
      <c r="F175" s="1">
        <f t="shared" si="17"/>
        <v>98</v>
      </c>
      <c r="G175">
        <v>6</v>
      </c>
      <c r="L175" s="1">
        <v>13450</v>
      </c>
    </row>
    <row r="176" spans="1:12" x14ac:dyDescent="0.25">
      <c r="A176" s="1">
        <f t="shared" si="13"/>
        <v>495.24736404418945</v>
      </c>
      <c r="B176" s="1">
        <f t="shared" si="14"/>
        <v>495247.36404418945</v>
      </c>
      <c r="C176" s="1">
        <f t="shared" si="15"/>
        <v>99840000</v>
      </c>
      <c r="D176" s="1">
        <v>28</v>
      </c>
      <c r="E176" s="1">
        <f t="shared" si="16"/>
        <v>1331550</v>
      </c>
      <c r="F176" s="1">
        <f t="shared" si="17"/>
        <v>99</v>
      </c>
      <c r="L176" s="1">
        <v>13450</v>
      </c>
    </row>
    <row r="177" spans="1:12" x14ac:dyDescent="0.25">
      <c r="A177" s="1">
        <f t="shared" si="13"/>
        <v>500.24986267089844</v>
      </c>
      <c r="B177" s="1">
        <f t="shared" si="14"/>
        <v>500249.86267089844</v>
      </c>
      <c r="C177" s="1">
        <f t="shared" si="15"/>
        <v>99840000</v>
      </c>
      <c r="D177" s="1">
        <v>28</v>
      </c>
      <c r="E177" s="1">
        <f>L177*F177</f>
        <v>1345000</v>
      </c>
      <c r="F177" s="1">
        <f t="shared" si="17"/>
        <v>100</v>
      </c>
      <c r="H177" t="str">
        <f>DEC2HEX(E177)</f>
        <v>1485E8</v>
      </c>
      <c r="L177" s="1">
        <v>13450</v>
      </c>
    </row>
    <row r="178" spans="1:12" x14ac:dyDescent="0.25">
      <c r="E178" s="1">
        <f t="shared" ref="E178" si="18">L178*F178</f>
        <v>0</v>
      </c>
    </row>
    <row r="185" spans="1:12" ht="16.5" x14ac:dyDescent="0.25">
      <c r="A185" s="8" t="s">
        <v>17</v>
      </c>
      <c r="B185" s="8" t="s">
        <v>12</v>
      </c>
      <c r="C185" s="9" t="s">
        <v>13</v>
      </c>
      <c r="D185" s="9" t="s">
        <v>9</v>
      </c>
      <c r="E185" s="9" t="s">
        <v>10</v>
      </c>
      <c r="F185" s="9" t="s">
        <v>16</v>
      </c>
      <c r="G185" s="9"/>
      <c r="H185" s="9"/>
      <c r="I185" s="9"/>
    </row>
    <row r="186" spans="1:12" x14ac:dyDescent="0.25">
      <c r="A186" s="1">
        <f>B186/10^3</f>
        <v>1.0004997253417969</v>
      </c>
      <c r="B186" s="1">
        <f>(E186/2^D186)*C186</f>
        <v>1000.4997253417969</v>
      </c>
      <c r="C186" s="1">
        <f>99.84*10^6</f>
        <v>99840000</v>
      </c>
      <c r="D186" s="1">
        <v>28</v>
      </c>
      <c r="E186" s="1">
        <f>L186*F186</f>
        <v>2690</v>
      </c>
      <c r="F186" s="1">
        <v>1</v>
      </c>
      <c r="G186" s="1"/>
      <c r="H186" s="1"/>
      <c r="I186" s="1"/>
      <c r="L186" s="1">
        <v>2690</v>
      </c>
    </row>
    <row r="187" spans="1:12" x14ac:dyDescent="0.25">
      <c r="A187" s="1">
        <f t="shared" ref="A187:A250" si="19">B187/10^3</f>
        <v>2.0009994506835938</v>
      </c>
      <c r="B187" s="1">
        <f t="shared" ref="B187:B250" si="20">(E187/2^D187)*C187</f>
        <v>2000.9994506835938</v>
      </c>
      <c r="C187" s="1">
        <f t="shared" ref="C187:C250" si="21">99.84*10^6</f>
        <v>99840000</v>
      </c>
      <c r="D187" s="1">
        <v>28</v>
      </c>
      <c r="E187" s="1">
        <f t="shared" ref="E187:E250" si="22">L187*F187</f>
        <v>5380</v>
      </c>
      <c r="F187" s="1">
        <f>F186+1</f>
        <v>2</v>
      </c>
      <c r="L187" s="1">
        <v>2690</v>
      </c>
    </row>
    <row r="188" spans="1:12" x14ac:dyDescent="0.25">
      <c r="A188" s="1">
        <f t="shared" si="19"/>
        <v>3.0014991760253906</v>
      </c>
      <c r="B188" s="1">
        <f t="shared" si="20"/>
        <v>3001.4991760253906</v>
      </c>
      <c r="C188" s="1">
        <f t="shared" si="21"/>
        <v>99840000</v>
      </c>
      <c r="D188" s="1">
        <v>28</v>
      </c>
      <c r="E188" s="1">
        <f t="shared" si="22"/>
        <v>8070</v>
      </c>
      <c r="F188" s="1">
        <f t="shared" ref="F188:F251" si="23">F187+1</f>
        <v>3</v>
      </c>
      <c r="L188" s="1">
        <v>2690</v>
      </c>
    </row>
    <row r="189" spans="1:12" x14ac:dyDescent="0.25">
      <c r="A189" s="1">
        <f t="shared" si="19"/>
        <v>4.0019989013671875</v>
      </c>
      <c r="B189" s="1">
        <f t="shared" si="20"/>
        <v>4001.9989013671875</v>
      </c>
      <c r="C189" s="1">
        <f t="shared" si="21"/>
        <v>99840000</v>
      </c>
      <c r="D189" s="1">
        <v>28</v>
      </c>
      <c r="E189" s="1">
        <f t="shared" si="22"/>
        <v>10760</v>
      </c>
      <c r="F189" s="1">
        <f t="shared" si="23"/>
        <v>4</v>
      </c>
      <c r="L189" s="1">
        <v>2690</v>
      </c>
    </row>
    <row r="190" spans="1:12" x14ac:dyDescent="0.25">
      <c r="A190" s="1">
        <f t="shared" si="19"/>
        <v>5.0024986267089844</v>
      </c>
      <c r="B190" s="1">
        <f t="shared" si="20"/>
        <v>5002.4986267089844</v>
      </c>
      <c r="C190" s="1">
        <f t="shared" si="21"/>
        <v>99840000</v>
      </c>
      <c r="D190" s="1">
        <v>28</v>
      </c>
      <c r="E190" s="1">
        <f t="shared" si="22"/>
        <v>13450</v>
      </c>
      <c r="F190" s="1">
        <f t="shared" si="23"/>
        <v>5</v>
      </c>
      <c r="L190" s="1">
        <v>2690</v>
      </c>
    </row>
    <row r="191" spans="1:12" x14ac:dyDescent="0.25">
      <c r="A191" s="1">
        <f t="shared" si="19"/>
        <v>6.0029983520507813</v>
      </c>
      <c r="B191" s="1">
        <f t="shared" si="20"/>
        <v>6002.9983520507813</v>
      </c>
      <c r="C191" s="1">
        <f t="shared" si="21"/>
        <v>99840000</v>
      </c>
      <c r="D191" s="1">
        <v>28</v>
      </c>
      <c r="E191" s="1">
        <f t="shared" si="22"/>
        <v>16140</v>
      </c>
      <c r="F191" s="1">
        <f t="shared" si="23"/>
        <v>6</v>
      </c>
      <c r="L191" s="1">
        <v>2690</v>
      </c>
    </row>
    <row r="192" spans="1:12" x14ac:dyDescent="0.25">
      <c r="A192" s="1">
        <f t="shared" si="19"/>
        <v>7.0034980773925781</v>
      </c>
      <c r="B192" s="1">
        <f t="shared" si="20"/>
        <v>7003.4980773925781</v>
      </c>
      <c r="C192" s="1">
        <f t="shared" si="21"/>
        <v>99840000</v>
      </c>
      <c r="D192" s="1">
        <v>28</v>
      </c>
      <c r="E192" s="1">
        <f t="shared" si="22"/>
        <v>18830</v>
      </c>
      <c r="F192" s="1">
        <f t="shared" si="23"/>
        <v>7</v>
      </c>
      <c r="L192" s="1">
        <v>2690</v>
      </c>
    </row>
    <row r="193" spans="1:12" x14ac:dyDescent="0.25">
      <c r="A193" s="1">
        <f t="shared" si="19"/>
        <v>8.003997802734375</v>
      </c>
      <c r="B193" s="1">
        <f t="shared" si="20"/>
        <v>8003.997802734375</v>
      </c>
      <c r="C193" s="1">
        <f t="shared" si="21"/>
        <v>99840000</v>
      </c>
      <c r="D193" s="1">
        <v>28</v>
      </c>
      <c r="E193" s="1">
        <f t="shared" si="22"/>
        <v>21520</v>
      </c>
      <c r="F193" s="1">
        <f t="shared" si="23"/>
        <v>8</v>
      </c>
      <c r="L193" s="1">
        <v>2690</v>
      </c>
    </row>
    <row r="194" spans="1:12" x14ac:dyDescent="0.25">
      <c r="A194" s="1">
        <f t="shared" si="19"/>
        <v>9.0044975280761719</v>
      </c>
      <c r="B194" s="1">
        <f t="shared" si="20"/>
        <v>9004.4975280761719</v>
      </c>
      <c r="C194" s="1">
        <f t="shared" si="21"/>
        <v>99840000</v>
      </c>
      <c r="D194" s="1">
        <v>28</v>
      </c>
      <c r="E194" s="1">
        <f t="shared" si="22"/>
        <v>24210</v>
      </c>
      <c r="F194" s="1">
        <f t="shared" si="23"/>
        <v>9</v>
      </c>
      <c r="L194" s="1">
        <v>2690</v>
      </c>
    </row>
    <row r="195" spans="1:12" x14ac:dyDescent="0.25">
      <c r="A195" s="1">
        <f t="shared" si="19"/>
        <v>10.004997253417969</v>
      </c>
      <c r="B195" s="1">
        <f t="shared" si="20"/>
        <v>10004.997253417969</v>
      </c>
      <c r="C195" s="1">
        <f t="shared" si="21"/>
        <v>99840000</v>
      </c>
      <c r="D195" s="1">
        <v>28</v>
      </c>
      <c r="E195" s="1">
        <f t="shared" si="22"/>
        <v>26900</v>
      </c>
      <c r="F195" s="1">
        <f t="shared" si="23"/>
        <v>10</v>
      </c>
      <c r="L195" s="1">
        <v>2690</v>
      </c>
    </row>
    <row r="196" spans="1:12" x14ac:dyDescent="0.25">
      <c r="A196" s="1">
        <f t="shared" si="19"/>
        <v>11.005496978759766</v>
      </c>
      <c r="B196" s="1">
        <f t="shared" si="20"/>
        <v>11005.496978759766</v>
      </c>
      <c r="C196" s="1">
        <f t="shared" si="21"/>
        <v>99840000</v>
      </c>
      <c r="D196" s="1">
        <v>28</v>
      </c>
      <c r="E196" s="1">
        <f t="shared" si="22"/>
        <v>29590</v>
      </c>
      <c r="F196" s="1">
        <f t="shared" si="23"/>
        <v>11</v>
      </c>
      <c r="L196" s="1">
        <v>2690</v>
      </c>
    </row>
    <row r="197" spans="1:12" x14ac:dyDescent="0.25">
      <c r="A197" s="1">
        <f t="shared" si="19"/>
        <v>12.005996704101563</v>
      </c>
      <c r="B197" s="1">
        <f t="shared" si="20"/>
        <v>12005.996704101563</v>
      </c>
      <c r="C197" s="1">
        <f t="shared" si="21"/>
        <v>99840000</v>
      </c>
      <c r="D197" s="1">
        <v>28</v>
      </c>
      <c r="E197" s="1">
        <f t="shared" si="22"/>
        <v>32280</v>
      </c>
      <c r="F197" s="1">
        <f t="shared" si="23"/>
        <v>12</v>
      </c>
      <c r="L197" s="1">
        <v>2690</v>
      </c>
    </row>
    <row r="198" spans="1:12" x14ac:dyDescent="0.25">
      <c r="A198" s="1">
        <f t="shared" si="19"/>
        <v>13.006496429443359</v>
      </c>
      <c r="B198" s="1">
        <f t="shared" si="20"/>
        <v>13006.496429443359</v>
      </c>
      <c r="C198" s="1">
        <f t="shared" si="21"/>
        <v>99840000</v>
      </c>
      <c r="D198" s="1">
        <v>28</v>
      </c>
      <c r="E198" s="1">
        <f t="shared" si="22"/>
        <v>34970</v>
      </c>
      <c r="F198" s="1">
        <f t="shared" si="23"/>
        <v>13</v>
      </c>
      <c r="L198" s="1">
        <v>2690</v>
      </c>
    </row>
    <row r="199" spans="1:12" x14ac:dyDescent="0.25">
      <c r="A199" s="1">
        <f t="shared" si="19"/>
        <v>14.006996154785156</v>
      </c>
      <c r="B199" s="1">
        <f t="shared" si="20"/>
        <v>14006.996154785156</v>
      </c>
      <c r="C199" s="1">
        <f t="shared" si="21"/>
        <v>99840000</v>
      </c>
      <c r="D199" s="1">
        <v>28</v>
      </c>
      <c r="E199" s="1">
        <f t="shared" si="22"/>
        <v>37660</v>
      </c>
      <c r="F199" s="1">
        <f t="shared" si="23"/>
        <v>14</v>
      </c>
      <c r="L199" s="1">
        <v>2690</v>
      </c>
    </row>
    <row r="200" spans="1:12" x14ac:dyDescent="0.25">
      <c r="A200" s="1">
        <f t="shared" si="19"/>
        <v>15.007495880126953</v>
      </c>
      <c r="B200" s="1">
        <f t="shared" si="20"/>
        <v>15007.495880126953</v>
      </c>
      <c r="C200" s="1">
        <f t="shared" si="21"/>
        <v>99840000</v>
      </c>
      <c r="D200" s="1">
        <v>28</v>
      </c>
      <c r="E200" s="1">
        <f t="shared" si="22"/>
        <v>40350</v>
      </c>
      <c r="F200" s="1">
        <f t="shared" si="23"/>
        <v>15</v>
      </c>
      <c r="L200" s="1">
        <v>2690</v>
      </c>
    </row>
    <row r="201" spans="1:12" x14ac:dyDescent="0.25">
      <c r="A201" s="1">
        <f t="shared" si="19"/>
        <v>16.00799560546875</v>
      </c>
      <c r="B201" s="1">
        <f t="shared" si="20"/>
        <v>16007.99560546875</v>
      </c>
      <c r="C201" s="1">
        <f t="shared" si="21"/>
        <v>99840000</v>
      </c>
      <c r="D201" s="1">
        <v>28</v>
      </c>
      <c r="E201" s="1">
        <f t="shared" si="22"/>
        <v>43040</v>
      </c>
      <c r="F201" s="1">
        <f t="shared" si="23"/>
        <v>16</v>
      </c>
      <c r="L201" s="1">
        <v>2690</v>
      </c>
    </row>
    <row r="202" spans="1:12" x14ac:dyDescent="0.25">
      <c r="A202" s="1">
        <f t="shared" si="19"/>
        <v>17.008495330810547</v>
      </c>
      <c r="B202" s="1">
        <f t="shared" si="20"/>
        <v>17008.495330810547</v>
      </c>
      <c r="C202" s="1">
        <f t="shared" si="21"/>
        <v>99840000</v>
      </c>
      <c r="D202" s="1">
        <v>28</v>
      </c>
      <c r="E202" s="1">
        <f t="shared" si="22"/>
        <v>45730</v>
      </c>
      <c r="F202" s="1">
        <f t="shared" si="23"/>
        <v>17</v>
      </c>
      <c r="L202" s="1">
        <v>2690</v>
      </c>
    </row>
    <row r="203" spans="1:12" x14ac:dyDescent="0.25">
      <c r="A203" s="1">
        <f t="shared" si="19"/>
        <v>18.008995056152344</v>
      </c>
      <c r="B203" s="1">
        <f t="shared" si="20"/>
        <v>18008.995056152344</v>
      </c>
      <c r="C203" s="1">
        <f t="shared" si="21"/>
        <v>99840000</v>
      </c>
      <c r="D203" s="1">
        <v>28</v>
      </c>
      <c r="E203" s="1">
        <f t="shared" si="22"/>
        <v>48420</v>
      </c>
      <c r="F203" s="1">
        <f t="shared" si="23"/>
        <v>18</v>
      </c>
      <c r="L203" s="1">
        <v>2690</v>
      </c>
    </row>
    <row r="204" spans="1:12" x14ac:dyDescent="0.25">
      <c r="A204" s="1">
        <f t="shared" si="19"/>
        <v>19.009494781494141</v>
      </c>
      <c r="B204" s="1">
        <f t="shared" si="20"/>
        <v>19009.494781494141</v>
      </c>
      <c r="C204" s="1">
        <f t="shared" si="21"/>
        <v>99840000</v>
      </c>
      <c r="D204" s="1">
        <v>28</v>
      </c>
      <c r="E204" s="1">
        <f t="shared" si="22"/>
        <v>51110</v>
      </c>
      <c r="F204" s="1">
        <f t="shared" si="23"/>
        <v>19</v>
      </c>
      <c r="L204" s="1">
        <v>2690</v>
      </c>
    </row>
    <row r="205" spans="1:12" x14ac:dyDescent="0.25">
      <c r="A205" s="1">
        <f t="shared" si="19"/>
        <v>20.009994506835938</v>
      </c>
      <c r="B205" s="1">
        <f t="shared" si="20"/>
        <v>20009.994506835938</v>
      </c>
      <c r="C205" s="1">
        <f t="shared" si="21"/>
        <v>99840000</v>
      </c>
      <c r="D205" s="1">
        <v>28</v>
      </c>
      <c r="E205" s="1">
        <f t="shared" si="22"/>
        <v>53800</v>
      </c>
      <c r="F205" s="1">
        <f t="shared" si="23"/>
        <v>20</v>
      </c>
      <c r="L205" s="1">
        <v>2690</v>
      </c>
    </row>
    <row r="206" spans="1:12" x14ac:dyDescent="0.25">
      <c r="A206" s="1">
        <f t="shared" si="19"/>
        <v>21.010494232177734</v>
      </c>
      <c r="B206" s="1">
        <f t="shared" si="20"/>
        <v>21010.494232177734</v>
      </c>
      <c r="C206" s="1">
        <f t="shared" si="21"/>
        <v>99840000</v>
      </c>
      <c r="D206" s="1">
        <v>28</v>
      </c>
      <c r="E206" s="1">
        <f t="shared" si="22"/>
        <v>56490</v>
      </c>
      <c r="F206" s="1">
        <f t="shared" si="23"/>
        <v>21</v>
      </c>
      <c r="L206" s="1">
        <v>2690</v>
      </c>
    </row>
    <row r="207" spans="1:12" x14ac:dyDescent="0.25">
      <c r="A207" s="1">
        <f t="shared" si="19"/>
        <v>22.010993957519531</v>
      </c>
      <c r="B207" s="1">
        <f t="shared" si="20"/>
        <v>22010.993957519531</v>
      </c>
      <c r="C207" s="1">
        <f t="shared" si="21"/>
        <v>99840000</v>
      </c>
      <c r="D207" s="1">
        <v>28</v>
      </c>
      <c r="E207" s="1">
        <f t="shared" si="22"/>
        <v>59180</v>
      </c>
      <c r="F207" s="1">
        <f t="shared" si="23"/>
        <v>22</v>
      </c>
      <c r="L207" s="1">
        <v>2690</v>
      </c>
    </row>
    <row r="208" spans="1:12" x14ac:dyDescent="0.25">
      <c r="A208" s="1">
        <f t="shared" si="19"/>
        <v>23.011493682861328</v>
      </c>
      <c r="B208" s="1">
        <f t="shared" si="20"/>
        <v>23011.493682861328</v>
      </c>
      <c r="C208" s="1">
        <f t="shared" si="21"/>
        <v>99840000</v>
      </c>
      <c r="D208" s="1">
        <v>28</v>
      </c>
      <c r="E208" s="1">
        <f t="shared" si="22"/>
        <v>61870</v>
      </c>
      <c r="F208" s="1">
        <f t="shared" si="23"/>
        <v>23</v>
      </c>
      <c r="L208" s="1">
        <v>2690</v>
      </c>
    </row>
    <row r="209" spans="1:12" x14ac:dyDescent="0.25">
      <c r="A209" s="1">
        <f t="shared" si="19"/>
        <v>24.011993408203125</v>
      </c>
      <c r="B209" s="1">
        <f t="shared" si="20"/>
        <v>24011.993408203125</v>
      </c>
      <c r="C209" s="1">
        <f t="shared" si="21"/>
        <v>99840000</v>
      </c>
      <c r="D209" s="1">
        <v>28</v>
      </c>
      <c r="E209" s="1">
        <f t="shared" si="22"/>
        <v>64560</v>
      </c>
      <c r="F209" s="1">
        <f t="shared" si="23"/>
        <v>24</v>
      </c>
      <c r="L209" s="1">
        <v>2690</v>
      </c>
    </row>
    <row r="210" spans="1:12" x14ac:dyDescent="0.25">
      <c r="A210" s="1">
        <f t="shared" si="19"/>
        <v>25.012493133544922</v>
      </c>
      <c r="B210" s="1">
        <f t="shared" si="20"/>
        <v>25012.493133544922</v>
      </c>
      <c r="C210" s="1">
        <f t="shared" si="21"/>
        <v>99840000</v>
      </c>
      <c r="D210" s="1">
        <v>28</v>
      </c>
      <c r="E210" s="1">
        <f t="shared" si="22"/>
        <v>67250</v>
      </c>
      <c r="F210" s="1">
        <f t="shared" si="23"/>
        <v>25</v>
      </c>
      <c r="L210" s="1">
        <v>2690</v>
      </c>
    </row>
    <row r="211" spans="1:12" x14ac:dyDescent="0.25">
      <c r="A211" s="1">
        <f t="shared" si="19"/>
        <v>26.012992858886719</v>
      </c>
      <c r="B211" s="1">
        <f t="shared" si="20"/>
        <v>26012.992858886719</v>
      </c>
      <c r="C211" s="1">
        <f t="shared" si="21"/>
        <v>99840000</v>
      </c>
      <c r="D211" s="1">
        <v>28</v>
      </c>
      <c r="E211" s="1">
        <f t="shared" si="22"/>
        <v>69940</v>
      </c>
      <c r="F211" s="1">
        <f t="shared" si="23"/>
        <v>26</v>
      </c>
      <c r="L211" s="1">
        <v>2690</v>
      </c>
    </row>
    <row r="212" spans="1:12" x14ac:dyDescent="0.25">
      <c r="A212" s="1">
        <f t="shared" si="19"/>
        <v>27.013492584228516</v>
      </c>
      <c r="B212" s="1">
        <f t="shared" si="20"/>
        <v>27013.492584228516</v>
      </c>
      <c r="C212" s="1">
        <f t="shared" si="21"/>
        <v>99840000</v>
      </c>
      <c r="D212" s="1">
        <v>28</v>
      </c>
      <c r="E212" s="1">
        <f t="shared" si="22"/>
        <v>72630</v>
      </c>
      <c r="F212" s="1">
        <f t="shared" si="23"/>
        <v>27</v>
      </c>
      <c r="L212" s="1">
        <v>2690</v>
      </c>
    </row>
    <row r="213" spans="1:12" x14ac:dyDescent="0.25">
      <c r="A213" s="1">
        <f t="shared" si="19"/>
        <v>28.013992309570313</v>
      </c>
      <c r="B213" s="1">
        <f t="shared" si="20"/>
        <v>28013.992309570313</v>
      </c>
      <c r="C213" s="1">
        <f t="shared" si="21"/>
        <v>99840000</v>
      </c>
      <c r="D213" s="1">
        <v>28</v>
      </c>
      <c r="E213" s="1">
        <f t="shared" si="22"/>
        <v>75320</v>
      </c>
      <c r="F213" s="1">
        <f t="shared" si="23"/>
        <v>28</v>
      </c>
      <c r="L213" s="1">
        <v>2690</v>
      </c>
    </row>
    <row r="214" spans="1:12" x14ac:dyDescent="0.25">
      <c r="A214" s="1">
        <f t="shared" si="19"/>
        <v>29.014492034912109</v>
      </c>
      <c r="B214" s="1">
        <f t="shared" si="20"/>
        <v>29014.492034912109</v>
      </c>
      <c r="C214" s="1">
        <f t="shared" si="21"/>
        <v>99840000</v>
      </c>
      <c r="D214" s="1">
        <v>28</v>
      </c>
      <c r="E214" s="1">
        <f t="shared" si="22"/>
        <v>78010</v>
      </c>
      <c r="F214" s="1">
        <f t="shared" si="23"/>
        <v>29</v>
      </c>
      <c r="L214" s="1">
        <v>2690</v>
      </c>
    </row>
    <row r="215" spans="1:12" x14ac:dyDescent="0.25">
      <c r="A215" s="1">
        <f t="shared" si="19"/>
        <v>30.014991760253906</v>
      </c>
      <c r="B215" s="1">
        <f t="shared" si="20"/>
        <v>30014.991760253906</v>
      </c>
      <c r="C215" s="1">
        <f t="shared" si="21"/>
        <v>99840000</v>
      </c>
      <c r="D215" s="1">
        <v>28</v>
      </c>
      <c r="E215" s="1">
        <f t="shared" si="22"/>
        <v>80700</v>
      </c>
      <c r="F215" s="1">
        <f t="shared" si="23"/>
        <v>30</v>
      </c>
      <c r="L215" s="1">
        <v>2690</v>
      </c>
    </row>
    <row r="216" spans="1:12" x14ac:dyDescent="0.25">
      <c r="A216" s="1">
        <f t="shared" si="19"/>
        <v>31.015491485595703</v>
      </c>
      <c r="B216" s="1">
        <f t="shared" si="20"/>
        <v>31015.491485595703</v>
      </c>
      <c r="C216" s="1">
        <f t="shared" si="21"/>
        <v>99840000</v>
      </c>
      <c r="D216" s="1">
        <v>28</v>
      </c>
      <c r="E216" s="1">
        <f t="shared" si="22"/>
        <v>83390</v>
      </c>
      <c r="F216" s="1">
        <f t="shared" si="23"/>
        <v>31</v>
      </c>
      <c r="L216" s="1">
        <v>2690</v>
      </c>
    </row>
    <row r="217" spans="1:12" x14ac:dyDescent="0.25">
      <c r="A217" s="1">
        <f t="shared" si="19"/>
        <v>32.0159912109375</v>
      </c>
      <c r="B217" s="1">
        <f t="shared" si="20"/>
        <v>32015.9912109375</v>
      </c>
      <c r="C217" s="1">
        <f t="shared" si="21"/>
        <v>99840000</v>
      </c>
      <c r="D217" s="1">
        <v>28</v>
      </c>
      <c r="E217" s="1">
        <f t="shared" si="22"/>
        <v>86080</v>
      </c>
      <c r="F217" s="1">
        <f t="shared" si="23"/>
        <v>32</v>
      </c>
      <c r="L217" s="1">
        <v>2690</v>
      </c>
    </row>
    <row r="218" spans="1:12" x14ac:dyDescent="0.25">
      <c r="A218" s="1">
        <f t="shared" si="19"/>
        <v>33.016490936279297</v>
      </c>
      <c r="B218" s="1">
        <f t="shared" si="20"/>
        <v>33016.490936279297</v>
      </c>
      <c r="C218" s="1">
        <f t="shared" si="21"/>
        <v>99840000</v>
      </c>
      <c r="D218" s="1">
        <v>28</v>
      </c>
      <c r="E218" s="1">
        <f t="shared" si="22"/>
        <v>88770</v>
      </c>
      <c r="F218" s="1">
        <f t="shared" si="23"/>
        <v>33</v>
      </c>
      <c r="L218" s="1">
        <v>2690</v>
      </c>
    </row>
    <row r="219" spans="1:12" x14ac:dyDescent="0.25">
      <c r="A219" s="1">
        <f t="shared" si="19"/>
        <v>34.016990661621094</v>
      </c>
      <c r="B219" s="1">
        <f t="shared" si="20"/>
        <v>34016.990661621094</v>
      </c>
      <c r="C219" s="1">
        <f t="shared" si="21"/>
        <v>99840000</v>
      </c>
      <c r="D219" s="1">
        <v>28</v>
      </c>
      <c r="E219" s="1">
        <f t="shared" si="22"/>
        <v>91460</v>
      </c>
      <c r="F219" s="1">
        <f t="shared" si="23"/>
        <v>34</v>
      </c>
      <c r="L219" s="1">
        <v>2690</v>
      </c>
    </row>
    <row r="220" spans="1:12" x14ac:dyDescent="0.25">
      <c r="A220" s="1">
        <f t="shared" si="19"/>
        <v>35.017490386962891</v>
      </c>
      <c r="B220" s="1">
        <f t="shared" si="20"/>
        <v>35017.490386962891</v>
      </c>
      <c r="C220" s="1">
        <f t="shared" si="21"/>
        <v>99840000</v>
      </c>
      <c r="D220" s="1">
        <v>28</v>
      </c>
      <c r="E220" s="1">
        <f t="shared" si="22"/>
        <v>94150</v>
      </c>
      <c r="F220" s="1">
        <f t="shared" si="23"/>
        <v>35</v>
      </c>
      <c r="L220" s="1">
        <v>2690</v>
      </c>
    </row>
    <row r="221" spans="1:12" x14ac:dyDescent="0.25">
      <c r="A221" s="1">
        <f t="shared" si="19"/>
        <v>36.017990112304688</v>
      </c>
      <c r="B221" s="1">
        <f t="shared" si="20"/>
        <v>36017.990112304688</v>
      </c>
      <c r="C221" s="1">
        <f t="shared" si="21"/>
        <v>99840000</v>
      </c>
      <c r="D221" s="1">
        <v>28</v>
      </c>
      <c r="E221" s="1">
        <f t="shared" si="22"/>
        <v>96840</v>
      </c>
      <c r="F221" s="1">
        <f t="shared" si="23"/>
        <v>36</v>
      </c>
      <c r="L221" s="1">
        <v>2690</v>
      </c>
    </row>
    <row r="222" spans="1:12" x14ac:dyDescent="0.25">
      <c r="A222" s="1">
        <f t="shared" si="19"/>
        <v>37.018489837646484</v>
      </c>
      <c r="B222" s="1">
        <f t="shared" si="20"/>
        <v>37018.489837646484</v>
      </c>
      <c r="C222" s="1">
        <f t="shared" si="21"/>
        <v>99840000</v>
      </c>
      <c r="D222" s="1">
        <v>28</v>
      </c>
      <c r="E222" s="1">
        <f t="shared" si="22"/>
        <v>99530</v>
      </c>
      <c r="F222" s="1">
        <f t="shared" si="23"/>
        <v>37</v>
      </c>
      <c r="L222" s="1">
        <v>2690</v>
      </c>
    </row>
    <row r="223" spans="1:12" x14ac:dyDescent="0.25">
      <c r="A223" s="1">
        <f t="shared" si="19"/>
        <v>38.018989562988281</v>
      </c>
      <c r="B223" s="1">
        <f t="shared" si="20"/>
        <v>38018.989562988281</v>
      </c>
      <c r="C223" s="1">
        <f t="shared" si="21"/>
        <v>99840000</v>
      </c>
      <c r="D223" s="1">
        <v>28</v>
      </c>
      <c r="E223" s="1">
        <f t="shared" si="22"/>
        <v>102220</v>
      </c>
      <c r="F223" s="1">
        <f t="shared" si="23"/>
        <v>38</v>
      </c>
      <c r="L223" s="1">
        <v>2690</v>
      </c>
    </row>
    <row r="224" spans="1:12" x14ac:dyDescent="0.25">
      <c r="A224" s="1">
        <f t="shared" si="19"/>
        <v>39.019489288330078</v>
      </c>
      <c r="B224" s="1">
        <f t="shared" si="20"/>
        <v>39019.489288330078</v>
      </c>
      <c r="C224" s="1">
        <f t="shared" si="21"/>
        <v>99840000</v>
      </c>
      <c r="D224" s="1">
        <v>28</v>
      </c>
      <c r="E224" s="1">
        <f t="shared" si="22"/>
        <v>104910</v>
      </c>
      <c r="F224" s="1">
        <f t="shared" si="23"/>
        <v>39</v>
      </c>
      <c r="L224" s="1">
        <v>2690</v>
      </c>
    </row>
    <row r="225" spans="1:12" x14ac:dyDescent="0.25">
      <c r="A225" s="1">
        <f t="shared" si="19"/>
        <v>40.019989013671875</v>
      </c>
      <c r="B225" s="1">
        <f t="shared" si="20"/>
        <v>40019.989013671875</v>
      </c>
      <c r="C225" s="1">
        <f t="shared" si="21"/>
        <v>99840000</v>
      </c>
      <c r="D225" s="1">
        <v>28</v>
      </c>
      <c r="E225" s="1">
        <f t="shared" si="22"/>
        <v>107600</v>
      </c>
      <c r="F225" s="1">
        <f t="shared" si="23"/>
        <v>40</v>
      </c>
      <c r="L225" s="1">
        <v>2690</v>
      </c>
    </row>
    <row r="226" spans="1:12" x14ac:dyDescent="0.25">
      <c r="A226" s="1">
        <f t="shared" si="19"/>
        <v>41.020488739013672</v>
      </c>
      <c r="B226" s="1">
        <f t="shared" si="20"/>
        <v>41020.488739013672</v>
      </c>
      <c r="C226" s="1">
        <f t="shared" si="21"/>
        <v>99840000</v>
      </c>
      <c r="D226" s="1">
        <v>28</v>
      </c>
      <c r="E226" s="1">
        <f t="shared" si="22"/>
        <v>110290</v>
      </c>
      <c r="F226" s="1">
        <f t="shared" si="23"/>
        <v>41</v>
      </c>
      <c r="L226" s="1">
        <v>2690</v>
      </c>
    </row>
    <row r="227" spans="1:12" x14ac:dyDescent="0.25">
      <c r="A227" s="1">
        <f t="shared" si="19"/>
        <v>42.020988464355469</v>
      </c>
      <c r="B227" s="1">
        <f t="shared" si="20"/>
        <v>42020.988464355469</v>
      </c>
      <c r="C227" s="1">
        <f t="shared" si="21"/>
        <v>99840000</v>
      </c>
      <c r="D227" s="1">
        <v>28</v>
      </c>
      <c r="E227" s="1">
        <f t="shared" si="22"/>
        <v>112980</v>
      </c>
      <c r="F227" s="1">
        <f t="shared" si="23"/>
        <v>42</v>
      </c>
      <c r="L227" s="1">
        <v>2690</v>
      </c>
    </row>
    <row r="228" spans="1:12" x14ac:dyDescent="0.25">
      <c r="A228" s="1">
        <f t="shared" si="19"/>
        <v>43.021488189697266</v>
      </c>
      <c r="B228" s="1">
        <f t="shared" si="20"/>
        <v>43021.488189697266</v>
      </c>
      <c r="C228" s="1">
        <f t="shared" si="21"/>
        <v>99840000</v>
      </c>
      <c r="D228" s="1">
        <v>28</v>
      </c>
      <c r="E228" s="1">
        <f t="shared" si="22"/>
        <v>115670</v>
      </c>
      <c r="F228" s="1">
        <f t="shared" si="23"/>
        <v>43</v>
      </c>
      <c r="L228" s="1">
        <v>2690</v>
      </c>
    </row>
    <row r="229" spans="1:12" x14ac:dyDescent="0.25">
      <c r="A229" s="1">
        <f t="shared" si="19"/>
        <v>44.021987915039063</v>
      </c>
      <c r="B229" s="1">
        <f t="shared" si="20"/>
        <v>44021.987915039063</v>
      </c>
      <c r="C229" s="1">
        <f t="shared" si="21"/>
        <v>99840000</v>
      </c>
      <c r="D229" s="1">
        <v>28</v>
      </c>
      <c r="E229" s="1">
        <f t="shared" si="22"/>
        <v>118360</v>
      </c>
      <c r="F229" s="1">
        <f t="shared" si="23"/>
        <v>44</v>
      </c>
      <c r="L229" s="1">
        <v>2690</v>
      </c>
    </row>
    <row r="230" spans="1:12" x14ac:dyDescent="0.25">
      <c r="A230" s="1">
        <f t="shared" si="19"/>
        <v>45.022487640380859</v>
      </c>
      <c r="B230" s="1">
        <f t="shared" si="20"/>
        <v>45022.487640380859</v>
      </c>
      <c r="C230" s="1">
        <f t="shared" si="21"/>
        <v>99840000</v>
      </c>
      <c r="D230" s="1">
        <v>28</v>
      </c>
      <c r="E230" s="1">
        <f t="shared" si="22"/>
        <v>121050</v>
      </c>
      <c r="F230" s="1">
        <f t="shared" si="23"/>
        <v>45</v>
      </c>
      <c r="L230" s="1">
        <v>2690</v>
      </c>
    </row>
    <row r="231" spans="1:12" x14ac:dyDescent="0.25">
      <c r="A231" s="1">
        <f t="shared" si="19"/>
        <v>46.022987365722656</v>
      </c>
      <c r="B231" s="1">
        <f t="shared" si="20"/>
        <v>46022.987365722656</v>
      </c>
      <c r="C231" s="1">
        <f t="shared" si="21"/>
        <v>99840000</v>
      </c>
      <c r="D231" s="1">
        <v>28</v>
      </c>
      <c r="E231" s="1">
        <f t="shared" si="22"/>
        <v>123740</v>
      </c>
      <c r="F231" s="1">
        <f t="shared" si="23"/>
        <v>46</v>
      </c>
      <c r="L231" s="1">
        <v>2690</v>
      </c>
    </row>
    <row r="232" spans="1:12" x14ac:dyDescent="0.25">
      <c r="A232" s="1">
        <f t="shared" si="19"/>
        <v>47.023487091064453</v>
      </c>
      <c r="B232" s="1">
        <f t="shared" si="20"/>
        <v>47023.487091064453</v>
      </c>
      <c r="C232" s="1">
        <f t="shared" si="21"/>
        <v>99840000</v>
      </c>
      <c r="D232" s="1">
        <v>28</v>
      </c>
      <c r="E232" s="1">
        <f t="shared" si="22"/>
        <v>126430</v>
      </c>
      <c r="F232" s="1">
        <f t="shared" si="23"/>
        <v>47</v>
      </c>
      <c r="L232" s="1">
        <v>2690</v>
      </c>
    </row>
    <row r="233" spans="1:12" x14ac:dyDescent="0.25">
      <c r="A233" s="1">
        <f t="shared" si="19"/>
        <v>48.02398681640625</v>
      </c>
      <c r="B233" s="1">
        <f t="shared" si="20"/>
        <v>48023.98681640625</v>
      </c>
      <c r="C233" s="1">
        <f t="shared" si="21"/>
        <v>99840000</v>
      </c>
      <c r="D233" s="1">
        <v>28</v>
      </c>
      <c r="E233" s="1">
        <f t="shared" si="22"/>
        <v>129120</v>
      </c>
      <c r="F233" s="1">
        <f t="shared" si="23"/>
        <v>48</v>
      </c>
      <c r="L233" s="1">
        <v>2690</v>
      </c>
    </row>
    <row r="234" spans="1:12" x14ac:dyDescent="0.25">
      <c r="A234" s="1">
        <f t="shared" si="19"/>
        <v>49.024486541748047</v>
      </c>
      <c r="B234" s="1">
        <f t="shared" si="20"/>
        <v>49024.486541748047</v>
      </c>
      <c r="C234" s="1">
        <f t="shared" si="21"/>
        <v>99840000</v>
      </c>
      <c r="D234" s="1">
        <v>28</v>
      </c>
      <c r="E234" s="1">
        <f t="shared" si="22"/>
        <v>131810</v>
      </c>
      <c r="F234" s="1">
        <f t="shared" si="23"/>
        <v>49</v>
      </c>
      <c r="L234" s="1">
        <v>2690</v>
      </c>
    </row>
    <row r="235" spans="1:12" x14ac:dyDescent="0.25">
      <c r="A235" s="1">
        <f t="shared" si="19"/>
        <v>50.024986267089844</v>
      </c>
      <c r="B235" s="1">
        <f t="shared" si="20"/>
        <v>50024.986267089844</v>
      </c>
      <c r="C235" s="1">
        <f t="shared" si="21"/>
        <v>99840000</v>
      </c>
      <c r="D235" s="1">
        <v>28</v>
      </c>
      <c r="E235" s="1">
        <f t="shared" si="22"/>
        <v>134500</v>
      </c>
      <c r="F235" s="1">
        <f t="shared" si="23"/>
        <v>50</v>
      </c>
      <c r="L235" s="1">
        <v>2690</v>
      </c>
    </row>
    <row r="236" spans="1:12" x14ac:dyDescent="0.25">
      <c r="A236" s="1">
        <f t="shared" si="19"/>
        <v>51.025485992431641</v>
      </c>
      <c r="B236" s="1">
        <f t="shared" si="20"/>
        <v>51025.485992431641</v>
      </c>
      <c r="C236" s="1">
        <f t="shared" si="21"/>
        <v>99840000</v>
      </c>
      <c r="D236" s="1">
        <v>28</v>
      </c>
      <c r="E236" s="1">
        <f t="shared" si="22"/>
        <v>137190</v>
      </c>
      <c r="F236" s="1">
        <f t="shared" si="23"/>
        <v>51</v>
      </c>
      <c r="L236" s="1">
        <v>2690</v>
      </c>
    </row>
    <row r="237" spans="1:12" x14ac:dyDescent="0.25">
      <c r="A237" s="1">
        <f t="shared" si="19"/>
        <v>52.025985717773438</v>
      </c>
      <c r="B237" s="1">
        <f t="shared" si="20"/>
        <v>52025.985717773438</v>
      </c>
      <c r="C237" s="1">
        <f t="shared" si="21"/>
        <v>99840000</v>
      </c>
      <c r="D237" s="1">
        <v>28</v>
      </c>
      <c r="E237" s="1">
        <f t="shared" si="22"/>
        <v>139880</v>
      </c>
      <c r="F237" s="1">
        <f t="shared" si="23"/>
        <v>52</v>
      </c>
      <c r="L237" s="1">
        <v>2690</v>
      </c>
    </row>
    <row r="238" spans="1:12" x14ac:dyDescent="0.25">
      <c r="A238" s="1">
        <f t="shared" si="19"/>
        <v>53.026485443115234</v>
      </c>
      <c r="B238" s="1">
        <f t="shared" si="20"/>
        <v>53026.485443115234</v>
      </c>
      <c r="C238" s="1">
        <f t="shared" si="21"/>
        <v>99840000</v>
      </c>
      <c r="D238" s="1">
        <v>28</v>
      </c>
      <c r="E238" s="1">
        <f t="shared" si="22"/>
        <v>142570</v>
      </c>
      <c r="F238" s="1">
        <f t="shared" si="23"/>
        <v>53</v>
      </c>
      <c r="L238" s="1">
        <v>2690</v>
      </c>
    </row>
    <row r="239" spans="1:12" x14ac:dyDescent="0.25">
      <c r="A239" s="1">
        <f t="shared" si="19"/>
        <v>54.026985168457031</v>
      </c>
      <c r="B239" s="1">
        <f t="shared" si="20"/>
        <v>54026.985168457031</v>
      </c>
      <c r="C239" s="1">
        <f t="shared" si="21"/>
        <v>99840000</v>
      </c>
      <c r="D239" s="1">
        <v>28</v>
      </c>
      <c r="E239" s="1">
        <f t="shared" si="22"/>
        <v>145260</v>
      </c>
      <c r="F239" s="1">
        <f t="shared" si="23"/>
        <v>54</v>
      </c>
      <c r="L239" s="1">
        <v>2690</v>
      </c>
    </row>
    <row r="240" spans="1:12" x14ac:dyDescent="0.25">
      <c r="A240" s="1">
        <f t="shared" si="19"/>
        <v>55.027484893798828</v>
      </c>
      <c r="B240" s="1">
        <f t="shared" si="20"/>
        <v>55027.484893798828</v>
      </c>
      <c r="C240" s="1">
        <f t="shared" si="21"/>
        <v>99840000</v>
      </c>
      <c r="D240" s="1">
        <v>28</v>
      </c>
      <c r="E240" s="1">
        <f t="shared" si="22"/>
        <v>147950</v>
      </c>
      <c r="F240" s="1">
        <f t="shared" si="23"/>
        <v>55</v>
      </c>
      <c r="L240" s="1">
        <v>2690</v>
      </c>
    </row>
    <row r="241" spans="1:12" x14ac:dyDescent="0.25">
      <c r="A241" s="1">
        <f t="shared" si="19"/>
        <v>56.027984619140625</v>
      </c>
      <c r="B241" s="1">
        <f t="shared" si="20"/>
        <v>56027.984619140625</v>
      </c>
      <c r="C241" s="1">
        <f t="shared" si="21"/>
        <v>99840000</v>
      </c>
      <c r="D241" s="1">
        <v>28</v>
      </c>
      <c r="E241" s="1">
        <f t="shared" si="22"/>
        <v>150640</v>
      </c>
      <c r="F241" s="1">
        <f t="shared" si="23"/>
        <v>56</v>
      </c>
      <c r="L241" s="1">
        <v>2690</v>
      </c>
    </row>
    <row r="242" spans="1:12" x14ac:dyDescent="0.25">
      <c r="A242" s="1">
        <f t="shared" si="19"/>
        <v>57.028484344482422</v>
      </c>
      <c r="B242" s="1">
        <f t="shared" si="20"/>
        <v>57028.484344482422</v>
      </c>
      <c r="C242" s="1">
        <f t="shared" si="21"/>
        <v>99840000</v>
      </c>
      <c r="D242" s="1">
        <v>28</v>
      </c>
      <c r="E242" s="1">
        <f t="shared" si="22"/>
        <v>153330</v>
      </c>
      <c r="F242" s="1">
        <f t="shared" si="23"/>
        <v>57</v>
      </c>
      <c r="L242" s="1">
        <v>2690</v>
      </c>
    </row>
    <row r="243" spans="1:12" x14ac:dyDescent="0.25">
      <c r="A243" s="1">
        <f t="shared" si="19"/>
        <v>58.028984069824219</v>
      </c>
      <c r="B243" s="1">
        <f t="shared" si="20"/>
        <v>58028.984069824219</v>
      </c>
      <c r="C243" s="1">
        <f t="shared" si="21"/>
        <v>99840000</v>
      </c>
      <c r="D243" s="1">
        <v>28</v>
      </c>
      <c r="E243" s="1">
        <f t="shared" si="22"/>
        <v>156020</v>
      </c>
      <c r="F243" s="1">
        <f t="shared" si="23"/>
        <v>58</v>
      </c>
      <c r="L243" s="1">
        <v>2690</v>
      </c>
    </row>
    <row r="244" spans="1:12" x14ac:dyDescent="0.25">
      <c r="A244" s="1">
        <f t="shared" si="19"/>
        <v>59.029483795166016</v>
      </c>
      <c r="B244" s="1">
        <f t="shared" si="20"/>
        <v>59029.483795166016</v>
      </c>
      <c r="C244" s="1">
        <f t="shared" si="21"/>
        <v>99840000</v>
      </c>
      <c r="D244" s="1">
        <v>28</v>
      </c>
      <c r="E244" s="1">
        <f t="shared" si="22"/>
        <v>158710</v>
      </c>
      <c r="F244" s="1">
        <f t="shared" si="23"/>
        <v>59</v>
      </c>
      <c r="L244" s="1">
        <v>2690</v>
      </c>
    </row>
    <row r="245" spans="1:12" x14ac:dyDescent="0.25">
      <c r="A245" s="1">
        <f t="shared" si="19"/>
        <v>60.029983520507813</v>
      </c>
      <c r="B245" s="1">
        <f t="shared" si="20"/>
        <v>60029.983520507813</v>
      </c>
      <c r="C245" s="1">
        <f t="shared" si="21"/>
        <v>99840000</v>
      </c>
      <c r="D245" s="1">
        <v>28</v>
      </c>
      <c r="E245" s="1">
        <f t="shared" si="22"/>
        <v>161400</v>
      </c>
      <c r="F245" s="1">
        <f t="shared" si="23"/>
        <v>60</v>
      </c>
      <c r="L245" s="1">
        <v>2690</v>
      </c>
    </row>
    <row r="246" spans="1:12" x14ac:dyDescent="0.25">
      <c r="A246" s="1">
        <f t="shared" si="19"/>
        <v>61.030483245849609</v>
      </c>
      <c r="B246" s="1">
        <f t="shared" si="20"/>
        <v>61030.483245849609</v>
      </c>
      <c r="C246" s="1">
        <f t="shared" si="21"/>
        <v>99840000</v>
      </c>
      <c r="D246" s="1">
        <v>28</v>
      </c>
      <c r="E246" s="1">
        <f t="shared" si="22"/>
        <v>164090</v>
      </c>
      <c r="F246" s="1">
        <f t="shared" si="23"/>
        <v>61</v>
      </c>
      <c r="L246" s="1">
        <v>2690</v>
      </c>
    </row>
    <row r="247" spans="1:12" x14ac:dyDescent="0.25">
      <c r="A247" s="1">
        <f t="shared" si="19"/>
        <v>62.030982971191406</v>
      </c>
      <c r="B247" s="1">
        <f t="shared" si="20"/>
        <v>62030.982971191406</v>
      </c>
      <c r="C247" s="1">
        <f t="shared" si="21"/>
        <v>99840000</v>
      </c>
      <c r="D247" s="1">
        <v>28</v>
      </c>
      <c r="E247" s="1">
        <f t="shared" si="22"/>
        <v>166780</v>
      </c>
      <c r="F247" s="1">
        <f t="shared" si="23"/>
        <v>62</v>
      </c>
      <c r="L247" s="1">
        <v>2690</v>
      </c>
    </row>
    <row r="248" spans="1:12" x14ac:dyDescent="0.25">
      <c r="A248" s="1">
        <f t="shared" si="19"/>
        <v>63.031482696533203</v>
      </c>
      <c r="B248" s="1">
        <f t="shared" si="20"/>
        <v>63031.482696533203</v>
      </c>
      <c r="C248" s="1">
        <f t="shared" si="21"/>
        <v>99840000</v>
      </c>
      <c r="D248" s="1">
        <v>28</v>
      </c>
      <c r="E248" s="1">
        <f t="shared" si="22"/>
        <v>169470</v>
      </c>
      <c r="F248" s="1">
        <f t="shared" si="23"/>
        <v>63</v>
      </c>
      <c r="L248" s="1">
        <v>2690</v>
      </c>
    </row>
    <row r="249" spans="1:12" x14ac:dyDescent="0.25">
      <c r="A249" s="1">
        <f t="shared" si="19"/>
        <v>64.031982421875</v>
      </c>
      <c r="B249" s="1">
        <f t="shared" si="20"/>
        <v>64031.982421875</v>
      </c>
      <c r="C249" s="1">
        <f t="shared" si="21"/>
        <v>99840000</v>
      </c>
      <c r="D249" s="1">
        <v>28</v>
      </c>
      <c r="E249" s="1">
        <f t="shared" si="22"/>
        <v>172160</v>
      </c>
      <c r="F249" s="1">
        <f t="shared" si="23"/>
        <v>64</v>
      </c>
      <c r="L249" s="1">
        <v>2690</v>
      </c>
    </row>
    <row r="250" spans="1:12" x14ac:dyDescent="0.25">
      <c r="A250" s="1">
        <f t="shared" si="19"/>
        <v>65.032482147216797</v>
      </c>
      <c r="B250" s="1">
        <f t="shared" si="20"/>
        <v>65032.482147216797</v>
      </c>
      <c r="C250" s="1">
        <f t="shared" si="21"/>
        <v>99840000</v>
      </c>
      <c r="D250" s="1">
        <v>28</v>
      </c>
      <c r="E250" s="1">
        <f t="shared" si="22"/>
        <v>174850</v>
      </c>
      <c r="F250" s="1">
        <f t="shared" si="23"/>
        <v>65</v>
      </c>
      <c r="L250" s="1">
        <v>2690</v>
      </c>
    </row>
    <row r="251" spans="1:12" x14ac:dyDescent="0.25">
      <c r="A251" s="1">
        <f t="shared" ref="A251:A314" si="24">B251/10^3</f>
        <v>66.032981872558594</v>
      </c>
      <c r="B251" s="1">
        <f t="shared" ref="B251:B314" si="25">(E251/2^D251)*C251</f>
        <v>66032.981872558594</v>
      </c>
      <c r="C251" s="1">
        <f t="shared" ref="C251:C314" si="26">99.84*10^6</f>
        <v>99840000</v>
      </c>
      <c r="D251" s="1">
        <v>28</v>
      </c>
      <c r="E251" s="1">
        <f t="shared" ref="E251:E314" si="27">L251*F251</f>
        <v>177540</v>
      </c>
      <c r="F251" s="1">
        <f t="shared" si="23"/>
        <v>66</v>
      </c>
      <c r="L251" s="1">
        <v>2690</v>
      </c>
    </row>
    <row r="252" spans="1:12" x14ac:dyDescent="0.25">
      <c r="A252" s="1">
        <f t="shared" si="24"/>
        <v>67.033481597900391</v>
      </c>
      <c r="B252" s="1">
        <f t="shared" si="25"/>
        <v>67033.481597900391</v>
      </c>
      <c r="C252" s="1">
        <f t="shared" si="26"/>
        <v>99840000</v>
      </c>
      <c r="D252" s="1">
        <v>28</v>
      </c>
      <c r="E252" s="1">
        <f t="shared" si="27"/>
        <v>180230</v>
      </c>
      <c r="F252" s="1">
        <f t="shared" ref="F252:F315" si="28">F251+1</f>
        <v>67</v>
      </c>
      <c r="L252" s="1">
        <v>2690</v>
      </c>
    </row>
    <row r="253" spans="1:12" x14ac:dyDescent="0.25">
      <c r="A253" s="1">
        <f t="shared" si="24"/>
        <v>68.033981323242188</v>
      </c>
      <c r="B253" s="1">
        <f t="shared" si="25"/>
        <v>68033.981323242188</v>
      </c>
      <c r="C253" s="1">
        <f t="shared" si="26"/>
        <v>99840000</v>
      </c>
      <c r="D253" s="1">
        <v>28</v>
      </c>
      <c r="E253" s="1">
        <f t="shared" si="27"/>
        <v>182920</v>
      </c>
      <c r="F253" s="1">
        <f t="shared" si="28"/>
        <v>68</v>
      </c>
      <c r="L253" s="1">
        <v>2690</v>
      </c>
    </row>
    <row r="254" spans="1:12" x14ac:dyDescent="0.25">
      <c r="A254" s="1">
        <f t="shared" si="24"/>
        <v>69.034481048583984</v>
      </c>
      <c r="B254" s="1">
        <f t="shared" si="25"/>
        <v>69034.481048583984</v>
      </c>
      <c r="C254" s="1">
        <f t="shared" si="26"/>
        <v>99840000</v>
      </c>
      <c r="D254" s="1">
        <v>28</v>
      </c>
      <c r="E254" s="1">
        <f t="shared" si="27"/>
        <v>185610</v>
      </c>
      <c r="F254" s="1">
        <f t="shared" si="28"/>
        <v>69</v>
      </c>
      <c r="L254" s="1">
        <v>2690</v>
      </c>
    </row>
    <row r="255" spans="1:12" x14ac:dyDescent="0.25">
      <c r="A255" s="1">
        <f t="shared" si="24"/>
        <v>70.034980773925781</v>
      </c>
      <c r="B255" s="1">
        <f t="shared" si="25"/>
        <v>70034.980773925781</v>
      </c>
      <c r="C255" s="1">
        <f t="shared" si="26"/>
        <v>99840000</v>
      </c>
      <c r="D255" s="1">
        <v>28</v>
      </c>
      <c r="E255" s="1">
        <f t="shared" si="27"/>
        <v>188300</v>
      </c>
      <c r="F255" s="1">
        <f t="shared" si="28"/>
        <v>70</v>
      </c>
      <c r="L255" s="1">
        <v>2690</v>
      </c>
    </row>
    <row r="256" spans="1:12" x14ac:dyDescent="0.25">
      <c r="A256" s="1">
        <f t="shared" si="24"/>
        <v>71.035480499267578</v>
      </c>
      <c r="B256" s="1">
        <f t="shared" si="25"/>
        <v>71035.480499267578</v>
      </c>
      <c r="C256" s="1">
        <f t="shared" si="26"/>
        <v>99840000</v>
      </c>
      <c r="D256" s="1">
        <v>28</v>
      </c>
      <c r="E256" s="1">
        <f t="shared" si="27"/>
        <v>190990</v>
      </c>
      <c r="F256" s="1">
        <f t="shared" si="28"/>
        <v>71</v>
      </c>
      <c r="L256" s="1">
        <v>2690</v>
      </c>
    </row>
    <row r="257" spans="1:12" x14ac:dyDescent="0.25">
      <c r="A257" s="1">
        <f t="shared" si="24"/>
        <v>72.035980224609375</v>
      </c>
      <c r="B257" s="1">
        <f t="shared" si="25"/>
        <v>72035.980224609375</v>
      </c>
      <c r="C257" s="1">
        <f t="shared" si="26"/>
        <v>99840000</v>
      </c>
      <c r="D257" s="1">
        <v>28</v>
      </c>
      <c r="E257" s="1">
        <f t="shared" si="27"/>
        <v>193680</v>
      </c>
      <c r="F257" s="1">
        <f t="shared" si="28"/>
        <v>72</v>
      </c>
      <c r="L257" s="1">
        <v>2690</v>
      </c>
    </row>
    <row r="258" spans="1:12" x14ac:dyDescent="0.25">
      <c r="A258" s="1">
        <f t="shared" si="24"/>
        <v>73.036479949951172</v>
      </c>
      <c r="B258" s="1">
        <f t="shared" si="25"/>
        <v>73036.479949951172</v>
      </c>
      <c r="C258" s="1">
        <f t="shared" si="26"/>
        <v>99840000</v>
      </c>
      <c r="D258" s="1">
        <v>28</v>
      </c>
      <c r="E258" s="1">
        <f t="shared" si="27"/>
        <v>196370</v>
      </c>
      <c r="F258" s="1">
        <f t="shared" si="28"/>
        <v>73</v>
      </c>
      <c r="L258" s="1">
        <v>2690</v>
      </c>
    </row>
    <row r="259" spans="1:12" x14ac:dyDescent="0.25">
      <c r="A259" s="1">
        <f t="shared" si="24"/>
        <v>74.036979675292969</v>
      </c>
      <c r="B259" s="1">
        <f t="shared" si="25"/>
        <v>74036.979675292969</v>
      </c>
      <c r="C259" s="1">
        <f t="shared" si="26"/>
        <v>99840000</v>
      </c>
      <c r="D259" s="1">
        <v>28</v>
      </c>
      <c r="E259" s="1">
        <f t="shared" si="27"/>
        <v>199060</v>
      </c>
      <c r="F259" s="1">
        <f t="shared" si="28"/>
        <v>74</v>
      </c>
      <c r="L259" s="1">
        <v>2690</v>
      </c>
    </row>
    <row r="260" spans="1:12" x14ac:dyDescent="0.25">
      <c r="A260" s="1">
        <f t="shared" si="24"/>
        <v>75.037479400634766</v>
      </c>
      <c r="B260" s="1">
        <f t="shared" si="25"/>
        <v>75037.479400634766</v>
      </c>
      <c r="C260" s="1">
        <f t="shared" si="26"/>
        <v>99840000</v>
      </c>
      <c r="D260" s="1">
        <v>28</v>
      </c>
      <c r="E260" s="1">
        <f t="shared" si="27"/>
        <v>201750</v>
      </c>
      <c r="F260" s="1">
        <f t="shared" si="28"/>
        <v>75</v>
      </c>
      <c r="L260" s="1">
        <v>2690</v>
      </c>
    </row>
    <row r="261" spans="1:12" x14ac:dyDescent="0.25">
      <c r="A261" s="1">
        <f t="shared" si="24"/>
        <v>76.037979125976563</v>
      </c>
      <c r="B261" s="1">
        <f t="shared" si="25"/>
        <v>76037.979125976563</v>
      </c>
      <c r="C261" s="1">
        <f t="shared" si="26"/>
        <v>99840000</v>
      </c>
      <c r="D261" s="1">
        <v>28</v>
      </c>
      <c r="E261" s="1">
        <f t="shared" si="27"/>
        <v>204440</v>
      </c>
      <c r="F261" s="1">
        <f t="shared" si="28"/>
        <v>76</v>
      </c>
      <c r="L261" s="1">
        <v>2690</v>
      </c>
    </row>
    <row r="262" spans="1:12" x14ac:dyDescent="0.25">
      <c r="A262" s="1">
        <f t="shared" si="24"/>
        <v>77.038478851318359</v>
      </c>
      <c r="B262" s="1">
        <f t="shared" si="25"/>
        <v>77038.478851318359</v>
      </c>
      <c r="C262" s="1">
        <f t="shared" si="26"/>
        <v>99840000</v>
      </c>
      <c r="D262" s="1">
        <v>28</v>
      </c>
      <c r="E262" s="1">
        <f t="shared" si="27"/>
        <v>207130</v>
      </c>
      <c r="F262" s="1">
        <f t="shared" si="28"/>
        <v>77</v>
      </c>
      <c r="L262" s="1">
        <v>2690</v>
      </c>
    </row>
    <row r="263" spans="1:12" x14ac:dyDescent="0.25">
      <c r="A263" s="1">
        <f t="shared" si="24"/>
        <v>78.038978576660156</v>
      </c>
      <c r="B263" s="1">
        <f t="shared" si="25"/>
        <v>78038.978576660156</v>
      </c>
      <c r="C263" s="1">
        <f t="shared" si="26"/>
        <v>99840000</v>
      </c>
      <c r="D263" s="1">
        <v>28</v>
      </c>
      <c r="E263" s="1">
        <f t="shared" si="27"/>
        <v>209820</v>
      </c>
      <c r="F263" s="1">
        <f t="shared" si="28"/>
        <v>78</v>
      </c>
      <c r="L263" s="1">
        <v>2690</v>
      </c>
    </row>
    <row r="264" spans="1:12" x14ac:dyDescent="0.25">
      <c r="A264" s="1">
        <f t="shared" si="24"/>
        <v>79.039478302001953</v>
      </c>
      <c r="B264" s="1">
        <f t="shared" si="25"/>
        <v>79039.478302001953</v>
      </c>
      <c r="C264" s="1">
        <f t="shared" si="26"/>
        <v>99840000</v>
      </c>
      <c r="D264" s="1">
        <v>28</v>
      </c>
      <c r="E264" s="1">
        <f t="shared" si="27"/>
        <v>212510</v>
      </c>
      <c r="F264" s="1">
        <f t="shared" si="28"/>
        <v>79</v>
      </c>
      <c r="L264" s="1">
        <v>2690</v>
      </c>
    </row>
    <row r="265" spans="1:12" x14ac:dyDescent="0.25">
      <c r="A265" s="1">
        <f t="shared" si="24"/>
        <v>80.03997802734375</v>
      </c>
      <c r="B265" s="1">
        <f t="shared" si="25"/>
        <v>80039.97802734375</v>
      </c>
      <c r="C265" s="1">
        <f t="shared" si="26"/>
        <v>99840000</v>
      </c>
      <c r="D265" s="1">
        <v>28</v>
      </c>
      <c r="E265" s="1">
        <f t="shared" si="27"/>
        <v>215200</v>
      </c>
      <c r="F265" s="1">
        <f t="shared" si="28"/>
        <v>80</v>
      </c>
      <c r="L265" s="1">
        <v>2690</v>
      </c>
    </row>
    <row r="266" spans="1:12" x14ac:dyDescent="0.25">
      <c r="A266" s="1">
        <f t="shared" si="24"/>
        <v>81.040477752685547</v>
      </c>
      <c r="B266" s="1">
        <f t="shared" si="25"/>
        <v>81040.477752685547</v>
      </c>
      <c r="C266" s="1">
        <f t="shared" si="26"/>
        <v>99840000</v>
      </c>
      <c r="D266" s="1">
        <v>28</v>
      </c>
      <c r="E266" s="1">
        <f t="shared" si="27"/>
        <v>217890</v>
      </c>
      <c r="F266" s="1">
        <f t="shared" si="28"/>
        <v>81</v>
      </c>
      <c r="L266" s="1">
        <v>2690</v>
      </c>
    </row>
    <row r="267" spans="1:12" x14ac:dyDescent="0.25">
      <c r="A267" s="1">
        <f t="shared" si="24"/>
        <v>82.040977478027344</v>
      </c>
      <c r="B267" s="1">
        <f t="shared" si="25"/>
        <v>82040.977478027344</v>
      </c>
      <c r="C267" s="1">
        <f t="shared" si="26"/>
        <v>99840000</v>
      </c>
      <c r="D267" s="1">
        <v>28</v>
      </c>
      <c r="E267" s="1">
        <f t="shared" si="27"/>
        <v>220580</v>
      </c>
      <c r="F267" s="1">
        <f t="shared" si="28"/>
        <v>82</v>
      </c>
      <c r="L267" s="1">
        <v>2690</v>
      </c>
    </row>
    <row r="268" spans="1:12" x14ac:dyDescent="0.25">
      <c r="A268" s="1">
        <f t="shared" si="24"/>
        <v>83.041477203369141</v>
      </c>
      <c r="B268" s="1">
        <f t="shared" si="25"/>
        <v>83041.477203369141</v>
      </c>
      <c r="C268" s="1">
        <f t="shared" si="26"/>
        <v>99840000</v>
      </c>
      <c r="D268" s="1">
        <v>28</v>
      </c>
      <c r="E268" s="1">
        <f t="shared" si="27"/>
        <v>223270</v>
      </c>
      <c r="F268" s="1">
        <f t="shared" si="28"/>
        <v>83</v>
      </c>
      <c r="L268" s="1">
        <v>2690</v>
      </c>
    </row>
    <row r="269" spans="1:12" x14ac:dyDescent="0.25">
      <c r="A269" s="1">
        <f t="shared" si="24"/>
        <v>84.041976928710938</v>
      </c>
      <c r="B269" s="1">
        <f t="shared" si="25"/>
        <v>84041.976928710938</v>
      </c>
      <c r="C269" s="1">
        <f t="shared" si="26"/>
        <v>99840000</v>
      </c>
      <c r="D269" s="1">
        <v>28</v>
      </c>
      <c r="E269" s="1">
        <f t="shared" si="27"/>
        <v>225960</v>
      </c>
      <c r="F269" s="1">
        <f t="shared" si="28"/>
        <v>84</v>
      </c>
      <c r="L269" s="1">
        <v>2690</v>
      </c>
    </row>
    <row r="270" spans="1:12" x14ac:dyDescent="0.25">
      <c r="A270" s="1">
        <f t="shared" si="24"/>
        <v>85.042476654052734</v>
      </c>
      <c r="B270" s="1">
        <f t="shared" si="25"/>
        <v>85042.476654052734</v>
      </c>
      <c r="C270" s="1">
        <f t="shared" si="26"/>
        <v>99840000</v>
      </c>
      <c r="D270" s="1">
        <v>28</v>
      </c>
      <c r="E270" s="1">
        <f t="shared" si="27"/>
        <v>228650</v>
      </c>
      <c r="F270" s="1">
        <f t="shared" si="28"/>
        <v>85</v>
      </c>
      <c r="L270" s="1">
        <v>2690</v>
      </c>
    </row>
    <row r="271" spans="1:12" x14ac:dyDescent="0.25">
      <c r="A271" s="1">
        <f t="shared" si="24"/>
        <v>86.042976379394531</v>
      </c>
      <c r="B271" s="1">
        <f t="shared" si="25"/>
        <v>86042.976379394531</v>
      </c>
      <c r="C271" s="1">
        <f t="shared" si="26"/>
        <v>99840000</v>
      </c>
      <c r="D271" s="1">
        <v>28</v>
      </c>
      <c r="E271" s="1">
        <f t="shared" si="27"/>
        <v>231340</v>
      </c>
      <c r="F271" s="1">
        <f t="shared" si="28"/>
        <v>86</v>
      </c>
      <c r="L271" s="1">
        <v>2690</v>
      </c>
    </row>
    <row r="272" spans="1:12" x14ac:dyDescent="0.25">
      <c r="A272" s="1">
        <f t="shared" si="24"/>
        <v>87.043476104736328</v>
      </c>
      <c r="B272" s="1">
        <f t="shared" si="25"/>
        <v>87043.476104736328</v>
      </c>
      <c r="C272" s="1">
        <f t="shared" si="26"/>
        <v>99840000</v>
      </c>
      <c r="D272" s="1">
        <v>28</v>
      </c>
      <c r="E272" s="1">
        <f t="shared" si="27"/>
        <v>234030</v>
      </c>
      <c r="F272" s="1">
        <f t="shared" si="28"/>
        <v>87</v>
      </c>
      <c r="L272" s="1">
        <v>2690</v>
      </c>
    </row>
    <row r="273" spans="1:12" x14ac:dyDescent="0.25">
      <c r="A273" s="1">
        <f t="shared" si="24"/>
        <v>88.043975830078125</v>
      </c>
      <c r="B273" s="1">
        <f t="shared" si="25"/>
        <v>88043.975830078125</v>
      </c>
      <c r="C273" s="1">
        <f t="shared" si="26"/>
        <v>99840000</v>
      </c>
      <c r="D273" s="1">
        <v>28</v>
      </c>
      <c r="E273" s="1">
        <f t="shared" si="27"/>
        <v>236720</v>
      </c>
      <c r="F273" s="1">
        <f t="shared" si="28"/>
        <v>88</v>
      </c>
      <c r="L273" s="1">
        <v>2690</v>
      </c>
    </row>
    <row r="274" spans="1:12" x14ac:dyDescent="0.25">
      <c r="A274" s="1">
        <f t="shared" si="24"/>
        <v>89.044475555419922</v>
      </c>
      <c r="B274" s="1">
        <f t="shared" si="25"/>
        <v>89044.475555419922</v>
      </c>
      <c r="C274" s="1">
        <f t="shared" si="26"/>
        <v>99840000</v>
      </c>
      <c r="D274" s="1">
        <v>28</v>
      </c>
      <c r="E274" s="1">
        <f t="shared" si="27"/>
        <v>239410</v>
      </c>
      <c r="F274" s="1">
        <f t="shared" si="28"/>
        <v>89</v>
      </c>
      <c r="L274" s="1">
        <v>2690</v>
      </c>
    </row>
    <row r="275" spans="1:12" x14ac:dyDescent="0.25">
      <c r="A275" s="1">
        <f t="shared" si="24"/>
        <v>90.044975280761719</v>
      </c>
      <c r="B275" s="1">
        <f t="shared" si="25"/>
        <v>90044.975280761719</v>
      </c>
      <c r="C275" s="1">
        <f t="shared" si="26"/>
        <v>99840000</v>
      </c>
      <c r="D275" s="1">
        <v>28</v>
      </c>
      <c r="E275" s="1">
        <f t="shared" si="27"/>
        <v>242100</v>
      </c>
      <c r="F275" s="1">
        <f t="shared" si="28"/>
        <v>90</v>
      </c>
      <c r="L275" s="1">
        <v>2690</v>
      </c>
    </row>
    <row r="276" spans="1:12" x14ac:dyDescent="0.25">
      <c r="A276" s="1">
        <f t="shared" si="24"/>
        <v>91.045475006103516</v>
      </c>
      <c r="B276" s="1">
        <f t="shared" si="25"/>
        <v>91045.475006103516</v>
      </c>
      <c r="C276" s="1">
        <f t="shared" si="26"/>
        <v>99840000</v>
      </c>
      <c r="D276" s="1">
        <v>28</v>
      </c>
      <c r="E276" s="1">
        <f t="shared" si="27"/>
        <v>244790</v>
      </c>
      <c r="F276" s="1">
        <f t="shared" si="28"/>
        <v>91</v>
      </c>
      <c r="L276" s="1">
        <v>2690</v>
      </c>
    </row>
    <row r="277" spans="1:12" x14ac:dyDescent="0.25">
      <c r="A277" s="1">
        <f t="shared" si="24"/>
        <v>92.045974731445313</v>
      </c>
      <c r="B277" s="1">
        <f t="shared" si="25"/>
        <v>92045.974731445313</v>
      </c>
      <c r="C277" s="1">
        <f t="shared" si="26"/>
        <v>99840000</v>
      </c>
      <c r="D277" s="1">
        <v>28</v>
      </c>
      <c r="E277" s="1">
        <f t="shared" si="27"/>
        <v>247480</v>
      </c>
      <c r="F277" s="1">
        <f t="shared" si="28"/>
        <v>92</v>
      </c>
      <c r="L277" s="1">
        <v>2690</v>
      </c>
    </row>
    <row r="278" spans="1:12" x14ac:dyDescent="0.25">
      <c r="A278" s="1">
        <f t="shared" si="24"/>
        <v>93.046474456787109</v>
      </c>
      <c r="B278" s="1">
        <f t="shared" si="25"/>
        <v>93046.474456787109</v>
      </c>
      <c r="C278" s="1">
        <f t="shared" si="26"/>
        <v>99840000</v>
      </c>
      <c r="D278" s="1">
        <v>28</v>
      </c>
      <c r="E278" s="1">
        <f t="shared" si="27"/>
        <v>250170</v>
      </c>
      <c r="F278" s="1">
        <f t="shared" si="28"/>
        <v>93</v>
      </c>
      <c r="L278" s="1">
        <v>2690</v>
      </c>
    </row>
    <row r="279" spans="1:12" x14ac:dyDescent="0.25">
      <c r="A279" s="1">
        <f t="shared" si="24"/>
        <v>94.046974182128906</v>
      </c>
      <c r="B279" s="1">
        <f t="shared" si="25"/>
        <v>94046.974182128906</v>
      </c>
      <c r="C279" s="1">
        <f t="shared" si="26"/>
        <v>99840000</v>
      </c>
      <c r="D279" s="1">
        <v>28</v>
      </c>
      <c r="E279" s="1">
        <f t="shared" si="27"/>
        <v>252860</v>
      </c>
      <c r="F279" s="1">
        <f t="shared" si="28"/>
        <v>94</v>
      </c>
      <c r="L279" s="1">
        <v>2690</v>
      </c>
    </row>
    <row r="280" spans="1:12" x14ac:dyDescent="0.25">
      <c r="A280" s="1">
        <f t="shared" si="24"/>
        <v>95.047473907470703</v>
      </c>
      <c r="B280" s="1">
        <f t="shared" si="25"/>
        <v>95047.473907470703</v>
      </c>
      <c r="C280" s="1">
        <f t="shared" si="26"/>
        <v>99840000</v>
      </c>
      <c r="D280" s="1">
        <v>28</v>
      </c>
      <c r="E280" s="1">
        <f t="shared" si="27"/>
        <v>255550</v>
      </c>
      <c r="F280" s="1">
        <f t="shared" si="28"/>
        <v>95</v>
      </c>
      <c r="L280" s="1">
        <v>2690</v>
      </c>
    </row>
    <row r="281" spans="1:12" x14ac:dyDescent="0.25">
      <c r="A281" s="1">
        <f t="shared" si="24"/>
        <v>96.0479736328125</v>
      </c>
      <c r="B281" s="1">
        <f t="shared" si="25"/>
        <v>96047.9736328125</v>
      </c>
      <c r="C281" s="1">
        <f t="shared" si="26"/>
        <v>99840000</v>
      </c>
      <c r="D281" s="1">
        <v>28</v>
      </c>
      <c r="E281" s="1">
        <f t="shared" si="27"/>
        <v>258240</v>
      </c>
      <c r="F281" s="1">
        <f t="shared" si="28"/>
        <v>96</v>
      </c>
      <c r="L281" s="1">
        <v>2690</v>
      </c>
    </row>
    <row r="282" spans="1:12" x14ac:dyDescent="0.25">
      <c r="A282" s="1">
        <f t="shared" si="24"/>
        <v>97.048473358154297</v>
      </c>
      <c r="B282" s="1">
        <f t="shared" si="25"/>
        <v>97048.473358154297</v>
      </c>
      <c r="C282" s="1">
        <f t="shared" si="26"/>
        <v>99840000</v>
      </c>
      <c r="D282" s="1">
        <v>28</v>
      </c>
      <c r="E282" s="1">
        <f t="shared" si="27"/>
        <v>260930</v>
      </c>
      <c r="F282" s="1">
        <f t="shared" si="28"/>
        <v>97</v>
      </c>
      <c r="L282" s="1">
        <v>2690</v>
      </c>
    </row>
    <row r="283" spans="1:12" x14ac:dyDescent="0.25">
      <c r="A283" s="1">
        <f t="shared" si="24"/>
        <v>98.048973083496094</v>
      </c>
      <c r="B283" s="1">
        <f t="shared" si="25"/>
        <v>98048.973083496094</v>
      </c>
      <c r="C283" s="1">
        <f t="shared" si="26"/>
        <v>99840000</v>
      </c>
      <c r="D283" s="1">
        <v>28</v>
      </c>
      <c r="E283" s="1">
        <f t="shared" si="27"/>
        <v>263620</v>
      </c>
      <c r="F283" s="1">
        <f t="shared" si="28"/>
        <v>98</v>
      </c>
      <c r="G283">
        <v>6</v>
      </c>
      <c r="L283" s="1">
        <v>2690</v>
      </c>
    </row>
    <row r="284" spans="1:12" x14ac:dyDescent="0.25">
      <c r="A284" s="1">
        <f t="shared" si="24"/>
        <v>99.049472808837891</v>
      </c>
      <c r="B284" s="1">
        <f t="shared" si="25"/>
        <v>99049.472808837891</v>
      </c>
      <c r="C284" s="1">
        <f t="shared" si="26"/>
        <v>99840000</v>
      </c>
      <c r="D284" s="1">
        <v>28</v>
      </c>
      <c r="E284" s="1">
        <f t="shared" si="27"/>
        <v>266310</v>
      </c>
      <c r="F284" s="1">
        <f t="shared" si="28"/>
        <v>99</v>
      </c>
      <c r="L284" s="1">
        <v>2690</v>
      </c>
    </row>
    <row r="285" spans="1:12" x14ac:dyDescent="0.25">
      <c r="A285" s="1">
        <f t="shared" si="24"/>
        <v>100.04997253417969</v>
      </c>
      <c r="B285" s="1">
        <f t="shared" si="25"/>
        <v>100049.97253417969</v>
      </c>
      <c r="C285" s="1">
        <f t="shared" si="26"/>
        <v>99840000</v>
      </c>
      <c r="D285" s="1">
        <v>28</v>
      </c>
      <c r="E285" s="1">
        <f t="shared" si="27"/>
        <v>269000</v>
      </c>
      <c r="F285" s="1">
        <f t="shared" si="28"/>
        <v>100</v>
      </c>
      <c r="H285" t="str">
        <f>DEC2HEX(E285)</f>
        <v>41AC8</v>
      </c>
      <c r="L285" s="1">
        <v>2690</v>
      </c>
    </row>
    <row r="286" spans="1:12" x14ac:dyDescent="0.25">
      <c r="A286" s="1">
        <f t="shared" si="24"/>
        <v>101.05047225952148</v>
      </c>
      <c r="B286" s="1">
        <f t="shared" si="25"/>
        <v>101050.47225952148</v>
      </c>
      <c r="C286" s="1">
        <f t="shared" si="26"/>
        <v>99840000</v>
      </c>
      <c r="D286" s="1">
        <v>28</v>
      </c>
      <c r="E286" s="1">
        <f t="shared" si="27"/>
        <v>271690</v>
      </c>
      <c r="F286" s="1">
        <f t="shared" si="28"/>
        <v>101</v>
      </c>
      <c r="L286" s="1">
        <v>2690</v>
      </c>
    </row>
    <row r="287" spans="1:12" x14ac:dyDescent="0.25">
      <c r="A287" s="1">
        <f t="shared" si="24"/>
        <v>102.05097198486328</v>
      </c>
      <c r="B287" s="1">
        <f t="shared" si="25"/>
        <v>102050.97198486328</v>
      </c>
      <c r="C287" s="1">
        <f t="shared" si="26"/>
        <v>99840000</v>
      </c>
      <c r="D287" s="1">
        <v>28</v>
      </c>
      <c r="E287" s="1">
        <f t="shared" si="27"/>
        <v>274380</v>
      </c>
      <c r="F287" s="1">
        <f t="shared" si="28"/>
        <v>102</v>
      </c>
      <c r="L287" s="1">
        <v>2690</v>
      </c>
    </row>
    <row r="288" spans="1:12" x14ac:dyDescent="0.25">
      <c r="A288" s="1">
        <f t="shared" si="24"/>
        <v>103.05147171020508</v>
      </c>
      <c r="B288" s="1">
        <f t="shared" si="25"/>
        <v>103051.47171020508</v>
      </c>
      <c r="C288" s="1">
        <f t="shared" si="26"/>
        <v>99840000</v>
      </c>
      <c r="D288" s="1">
        <v>28</v>
      </c>
      <c r="E288" s="1">
        <f t="shared" si="27"/>
        <v>277070</v>
      </c>
      <c r="F288" s="1">
        <f t="shared" si="28"/>
        <v>103</v>
      </c>
      <c r="L288" s="1">
        <v>2690</v>
      </c>
    </row>
    <row r="289" spans="1:12" x14ac:dyDescent="0.25">
      <c r="A289" s="1">
        <f t="shared" si="24"/>
        <v>104.05197143554688</v>
      </c>
      <c r="B289" s="1">
        <f t="shared" si="25"/>
        <v>104051.97143554688</v>
      </c>
      <c r="C289" s="1">
        <f t="shared" si="26"/>
        <v>99840000</v>
      </c>
      <c r="D289" s="1">
        <v>28</v>
      </c>
      <c r="E289" s="1">
        <f t="shared" si="27"/>
        <v>279760</v>
      </c>
      <c r="F289" s="1">
        <f t="shared" si="28"/>
        <v>104</v>
      </c>
      <c r="L289" s="1">
        <v>2690</v>
      </c>
    </row>
    <row r="290" spans="1:12" x14ac:dyDescent="0.25">
      <c r="A290" s="1">
        <f t="shared" si="24"/>
        <v>105.05247116088867</v>
      </c>
      <c r="B290" s="1">
        <f t="shared" si="25"/>
        <v>105052.47116088867</v>
      </c>
      <c r="C290" s="1">
        <f t="shared" si="26"/>
        <v>99840000</v>
      </c>
      <c r="D290" s="1">
        <v>28</v>
      </c>
      <c r="E290" s="1">
        <f t="shared" si="27"/>
        <v>282450</v>
      </c>
      <c r="F290" s="1">
        <f t="shared" si="28"/>
        <v>105</v>
      </c>
      <c r="L290" s="1">
        <v>2690</v>
      </c>
    </row>
    <row r="291" spans="1:12" x14ac:dyDescent="0.25">
      <c r="A291" s="1">
        <f t="shared" si="24"/>
        <v>106.05297088623047</v>
      </c>
      <c r="B291" s="1">
        <f t="shared" si="25"/>
        <v>106052.97088623047</v>
      </c>
      <c r="C291" s="1">
        <f t="shared" si="26"/>
        <v>99840000</v>
      </c>
      <c r="D291" s="1">
        <v>28</v>
      </c>
      <c r="E291" s="1">
        <f t="shared" si="27"/>
        <v>285140</v>
      </c>
      <c r="F291" s="1">
        <f t="shared" si="28"/>
        <v>106</v>
      </c>
      <c r="L291" s="1">
        <v>2690</v>
      </c>
    </row>
    <row r="292" spans="1:12" x14ac:dyDescent="0.25">
      <c r="A292" s="1">
        <f t="shared" si="24"/>
        <v>107.05347061157227</v>
      </c>
      <c r="B292" s="1">
        <f t="shared" si="25"/>
        <v>107053.47061157227</v>
      </c>
      <c r="C292" s="1">
        <f t="shared" si="26"/>
        <v>99840000</v>
      </c>
      <c r="D292" s="1">
        <v>28</v>
      </c>
      <c r="E292" s="1">
        <f t="shared" si="27"/>
        <v>287830</v>
      </c>
      <c r="F292" s="1">
        <f t="shared" si="28"/>
        <v>107</v>
      </c>
      <c r="L292" s="1">
        <v>2690</v>
      </c>
    </row>
    <row r="293" spans="1:12" x14ac:dyDescent="0.25">
      <c r="A293" s="1">
        <f t="shared" si="24"/>
        <v>108.05397033691406</v>
      </c>
      <c r="B293" s="1">
        <f t="shared" si="25"/>
        <v>108053.97033691406</v>
      </c>
      <c r="C293" s="1">
        <f t="shared" si="26"/>
        <v>99840000</v>
      </c>
      <c r="D293" s="1">
        <v>28</v>
      </c>
      <c r="E293" s="1">
        <f t="shared" si="27"/>
        <v>290520</v>
      </c>
      <c r="F293" s="1">
        <f t="shared" si="28"/>
        <v>108</v>
      </c>
      <c r="L293" s="1">
        <v>2690</v>
      </c>
    </row>
    <row r="294" spans="1:12" x14ac:dyDescent="0.25">
      <c r="A294" s="1">
        <f t="shared" si="24"/>
        <v>109.05447006225586</v>
      </c>
      <c r="B294" s="1">
        <f t="shared" si="25"/>
        <v>109054.47006225586</v>
      </c>
      <c r="C294" s="1">
        <f t="shared" si="26"/>
        <v>99840000</v>
      </c>
      <c r="D294" s="1">
        <v>28</v>
      </c>
      <c r="E294" s="1">
        <f t="shared" si="27"/>
        <v>293210</v>
      </c>
      <c r="F294" s="1">
        <f t="shared" si="28"/>
        <v>109</v>
      </c>
      <c r="L294" s="1">
        <v>2690</v>
      </c>
    </row>
    <row r="295" spans="1:12" x14ac:dyDescent="0.25">
      <c r="A295" s="1">
        <f t="shared" si="24"/>
        <v>110.05496978759766</v>
      </c>
      <c r="B295" s="1">
        <f t="shared" si="25"/>
        <v>110054.96978759766</v>
      </c>
      <c r="C295" s="1">
        <f t="shared" si="26"/>
        <v>99840000</v>
      </c>
      <c r="D295" s="1">
        <v>28</v>
      </c>
      <c r="E295" s="1">
        <f t="shared" si="27"/>
        <v>295900</v>
      </c>
      <c r="F295" s="1">
        <f t="shared" si="28"/>
        <v>110</v>
      </c>
      <c r="L295" s="1">
        <v>2690</v>
      </c>
    </row>
    <row r="296" spans="1:12" x14ac:dyDescent="0.25">
      <c r="A296" s="1">
        <f t="shared" si="24"/>
        <v>111.05546951293945</v>
      </c>
      <c r="B296" s="1">
        <f t="shared" si="25"/>
        <v>111055.46951293945</v>
      </c>
      <c r="C296" s="1">
        <f t="shared" si="26"/>
        <v>99840000</v>
      </c>
      <c r="D296" s="1">
        <v>28</v>
      </c>
      <c r="E296" s="1">
        <f t="shared" si="27"/>
        <v>298590</v>
      </c>
      <c r="F296" s="1">
        <f t="shared" si="28"/>
        <v>111</v>
      </c>
      <c r="L296" s="1">
        <v>2690</v>
      </c>
    </row>
    <row r="297" spans="1:12" x14ac:dyDescent="0.25">
      <c r="A297" s="1">
        <f t="shared" si="24"/>
        <v>112.05596923828125</v>
      </c>
      <c r="B297" s="1">
        <f t="shared" si="25"/>
        <v>112055.96923828125</v>
      </c>
      <c r="C297" s="1">
        <f t="shared" si="26"/>
        <v>99840000</v>
      </c>
      <c r="D297" s="1">
        <v>28</v>
      </c>
      <c r="E297" s="1">
        <f t="shared" si="27"/>
        <v>301280</v>
      </c>
      <c r="F297" s="1">
        <f t="shared" si="28"/>
        <v>112</v>
      </c>
      <c r="L297" s="1">
        <v>2690</v>
      </c>
    </row>
    <row r="298" spans="1:12" x14ac:dyDescent="0.25">
      <c r="A298" s="1">
        <f t="shared" si="24"/>
        <v>113.05646896362305</v>
      </c>
      <c r="B298" s="1">
        <f t="shared" si="25"/>
        <v>113056.46896362305</v>
      </c>
      <c r="C298" s="1">
        <f t="shared" si="26"/>
        <v>99840000</v>
      </c>
      <c r="D298" s="1">
        <v>28</v>
      </c>
      <c r="E298" s="1">
        <f t="shared" si="27"/>
        <v>303970</v>
      </c>
      <c r="F298" s="1">
        <f t="shared" si="28"/>
        <v>113</v>
      </c>
      <c r="L298" s="1">
        <v>2690</v>
      </c>
    </row>
    <row r="299" spans="1:12" x14ac:dyDescent="0.25">
      <c r="A299" s="1">
        <f t="shared" si="24"/>
        <v>114.05696868896484</v>
      </c>
      <c r="B299" s="1">
        <f t="shared" si="25"/>
        <v>114056.96868896484</v>
      </c>
      <c r="C299" s="1">
        <f t="shared" si="26"/>
        <v>99840000</v>
      </c>
      <c r="D299" s="1">
        <v>28</v>
      </c>
      <c r="E299" s="1">
        <f t="shared" si="27"/>
        <v>306660</v>
      </c>
      <c r="F299" s="1">
        <f t="shared" si="28"/>
        <v>114</v>
      </c>
      <c r="L299" s="1">
        <v>2690</v>
      </c>
    </row>
    <row r="300" spans="1:12" x14ac:dyDescent="0.25">
      <c r="A300" s="1">
        <f t="shared" si="24"/>
        <v>115.05746841430664</v>
      </c>
      <c r="B300" s="1">
        <f t="shared" si="25"/>
        <v>115057.46841430664</v>
      </c>
      <c r="C300" s="1">
        <f t="shared" si="26"/>
        <v>99840000</v>
      </c>
      <c r="D300" s="1">
        <v>28</v>
      </c>
      <c r="E300" s="1">
        <f t="shared" si="27"/>
        <v>309350</v>
      </c>
      <c r="F300" s="1">
        <f t="shared" si="28"/>
        <v>115</v>
      </c>
      <c r="L300" s="1">
        <v>2690</v>
      </c>
    </row>
    <row r="301" spans="1:12" x14ac:dyDescent="0.25">
      <c r="A301" s="1">
        <f t="shared" si="24"/>
        <v>116.05796813964844</v>
      </c>
      <c r="B301" s="1">
        <f t="shared" si="25"/>
        <v>116057.96813964844</v>
      </c>
      <c r="C301" s="1">
        <f t="shared" si="26"/>
        <v>99840000</v>
      </c>
      <c r="D301" s="1">
        <v>28</v>
      </c>
      <c r="E301" s="1">
        <f t="shared" si="27"/>
        <v>312040</v>
      </c>
      <c r="F301" s="1">
        <f t="shared" si="28"/>
        <v>116</v>
      </c>
      <c r="L301" s="1">
        <v>2690</v>
      </c>
    </row>
    <row r="302" spans="1:12" x14ac:dyDescent="0.25">
      <c r="A302" s="1">
        <f t="shared" si="24"/>
        <v>117.05846786499023</v>
      </c>
      <c r="B302" s="1">
        <f t="shared" si="25"/>
        <v>117058.46786499023</v>
      </c>
      <c r="C302" s="1">
        <f t="shared" si="26"/>
        <v>99840000</v>
      </c>
      <c r="D302" s="1">
        <v>28</v>
      </c>
      <c r="E302" s="1">
        <f t="shared" si="27"/>
        <v>314730</v>
      </c>
      <c r="F302" s="1">
        <f t="shared" si="28"/>
        <v>117</v>
      </c>
      <c r="L302" s="1">
        <v>2690</v>
      </c>
    </row>
    <row r="303" spans="1:12" x14ac:dyDescent="0.25">
      <c r="A303" s="1">
        <f t="shared" si="24"/>
        <v>118.05896759033203</v>
      </c>
      <c r="B303" s="1">
        <f t="shared" si="25"/>
        <v>118058.96759033203</v>
      </c>
      <c r="C303" s="1">
        <f t="shared" si="26"/>
        <v>99840000</v>
      </c>
      <c r="D303" s="1">
        <v>28</v>
      </c>
      <c r="E303" s="1">
        <f t="shared" si="27"/>
        <v>317420</v>
      </c>
      <c r="F303" s="1">
        <f t="shared" si="28"/>
        <v>118</v>
      </c>
      <c r="L303" s="1">
        <v>2690</v>
      </c>
    </row>
    <row r="304" spans="1:12" x14ac:dyDescent="0.25">
      <c r="A304" s="1">
        <f t="shared" si="24"/>
        <v>119.05946731567383</v>
      </c>
      <c r="B304" s="1">
        <f t="shared" si="25"/>
        <v>119059.46731567383</v>
      </c>
      <c r="C304" s="1">
        <f t="shared" si="26"/>
        <v>99840000</v>
      </c>
      <c r="D304" s="1">
        <v>28</v>
      </c>
      <c r="E304" s="1">
        <f t="shared" si="27"/>
        <v>320110</v>
      </c>
      <c r="F304" s="1">
        <f t="shared" si="28"/>
        <v>119</v>
      </c>
      <c r="L304" s="1">
        <v>2690</v>
      </c>
    </row>
    <row r="305" spans="1:12" x14ac:dyDescent="0.25">
      <c r="A305" s="1">
        <f t="shared" si="24"/>
        <v>120.05996704101563</v>
      </c>
      <c r="B305" s="1">
        <f t="shared" si="25"/>
        <v>120059.96704101563</v>
      </c>
      <c r="C305" s="1">
        <f t="shared" si="26"/>
        <v>99840000</v>
      </c>
      <c r="D305" s="1">
        <v>28</v>
      </c>
      <c r="E305" s="1">
        <f t="shared" si="27"/>
        <v>322800</v>
      </c>
      <c r="F305" s="1">
        <f t="shared" si="28"/>
        <v>120</v>
      </c>
      <c r="L305" s="1">
        <v>2690</v>
      </c>
    </row>
    <row r="306" spans="1:12" x14ac:dyDescent="0.25">
      <c r="A306" s="1">
        <f t="shared" si="24"/>
        <v>121.06046676635742</v>
      </c>
      <c r="B306" s="1">
        <f t="shared" si="25"/>
        <v>121060.46676635742</v>
      </c>
      <c r="C306" s="1">
        <f t="shared" si="26"/>
        <v>99840000</v>
      </c>
      <c r="D306" s="1">
        <v>28</v>
      </c>
      <c r="E306" s="1">
        <f t="shared" si="27"/>
        <v>325490</v>
      </c>
      <c r="F306" s="1">
        <f t="shared" si="28"/>
        <v>121</v>
      </c>
      <c r="L306" s="1">
        <v>2690</v>
      </c>
    </row>
    <row r="307" spans="1:12" x14ac:dyDescent="0.25">
      <c r="A307" s="1">
        <f t="shared" si="24"/>
        <v>122.06096649169922</v>
      </c>
      <c r="B307" s="1">
        <f t="shared" si="25"/>
        <v>122060.96649169922</v>
      </c>
      <c r="C307" s="1">
        <f t="shared" si="26"/>
        <v>99840000</v>
      </c>
      <c r="D307" s="1">
        <v>28</v>
      </c>
      <c r="E307" s="1">
        <f t="shared" si="27"/>
        <v>328180</v>
      </c>
      <c r="F307" s="1">
        <f t="shared" si="28"/>
        <v>122</v>
      </c>
      <c r="L307" s="1">
        <v>2690</v>
      </c>
    </row>
    <row r="308" spans="1:12" x14ac:dyDescent="0.25">
      <c r="A308" s="1">
        <f t="shared" si="24"/>
        <v>123.06146621704102</v>
      </c>
      <c r="B308" s="1">
        <f t="shared" si="25"/>
        <v>123061.46621704102</v>
      </c>
      <c r="C308" s="1">
        <f t="shared" si="26"/>
        <v>99840000</v>
      </c>
      <c r="D308" s="1">
        <v>28</v>
      </c>
      <c r="E308" s="1">
        <f t="shared" si="27"/>
        <v>330870</v>
      </c>
      <c r="F308" s="1">
        <f t="shared" si="28"/>
        <v>123</v>
      </c>
      <c r="L308" s="1">
        <v>2690</v>
      </c>
    </row>
    <row r="309" spans="1:12" x14ac:dyDescent="0.25">
      <c r="A309" s="1">
        <f t="shared" si="24"/>
        <v>124.06196594238281</v>
      </c>
      <c r="B309" s="1">
        <f t="shared" si="25"/>
        <v>124061.96594238281</v>
      </c>
      <c r="C309" s="1">
        <f t="shared" si="26"/>
        <v>99840000</v>
      </c>
      <c r="D309" s="1">
        <v>28</v>
      </c>
      <c r="E309" s="1">
        <f t="shared" si="27"/>
        <v>333560</v>
      </c>
      <c r="F309" s="1">
        <f t="shared" si="28"/>
        <v>124</v>
      </c>
      <c r="L309" s="1">
        <v>2690</v>
      </c>
    </row>
    <row r="310" spans="1:12" x14ac:dyDescent="0.25">
      <c r="A310" s="1">
        <f t="shared" si="24"/>
        <v>125.06246566772461</v>
      </c>
      <c r="B310" s="1">
        <f t="shared" si="25"/>
        <v>125062.46566772461</v>
      </c>
      <c r="C310" s="1">
        <f t="shared" si="26"/>
        <v>99840000</v>
      </c>
      <c r="D310" s="1">
        <v>28</v>
      </c>
      <c r="E310" s="1">
        <f t="shared" si="27"/>
        <v>336250</v>
      </c>
      <c r="F310" s="1">
        <f t="shared" si="28"/>
        <v>125</v>
      </c>
      <c r="L310" s="1">
        <v>2690</v>
      </c>
    </row>
    <row r="311" spans="1:12" x14ac:dyDescent="0.25">
      <c r="A311" s="1">
        <f t="shared" si="24"/>
        <v>126.06296539306641</v>
      </c>
      <c r="B311" s="1">
        <f t="shared" si="25"/>
        <v>126062.96539306641</v>
      </c>
      <c r="C311" s="1">
        <f t="shared" si="26"/>
        <v>99840000</v>
      </c>
      <c r="D311" s="1">
        <v>28</v>
      </c>
      <c r="E311" s="1">
        <f t="shared" si="27"/>
        <v>338940</v>
      </c>
      <c r="F311" s="1">
        <f t="shared" si="28"/>
        <v>126</v>
      </c>
      <c r="L311" s="1">
        <v>2690</v>
      </c>
    </row>
    <row r="312" spans="1:12" x14ac:dyDescent="0.25">
      <c r="A312" s="1">
        <f t="shared" si="24"/>
        <v>127.0634651184082</v>
      </c>
      <c r="B312" s="1">
        <f t="shared" si="25"/>
        <v>127063.4651184082</v>
      </c>
      <c r="C312" s="1">
        <f t="shared" si="26"/>
        <v>99840000</v>
      </c>
      <c r="D312" s="1">
        <v>28</v>
      </c>
      <c r="E312" s="1">
        <f t="shared" si="27"/>
        <v>341630</v>
      </c>
      <c r="F312" s="1">
        <f t="shared" si="28"/>
        <v>127</v>
      </c>
      <c r="L312" s="1">
        <v>2690</v>
      </c>
    </row>
    <row r="313" spans="1:12" x14ac:dyDescent="0.25">
      <c r="A313" s="1">
        <f t="shared" si="24"/>
        <v>128.06396484375</v>
      </c>
      <c r="B313" s="1">
        <f t="shared" si="25"/>
        <v>128063.96484375</v>
      </c>
      <c r="C313" s="1">
        <f t="shared" si="26"/>
        <v>99840000</v>
      </c>
      <c r="D313" s="1">
        <v>28</v>
      </c>
      <c r="E313" s="1">
        <f t="shared" si="27"/>
        <v>344320</v>
      </c>
      <c r="F313" s="1">
        <f t="shared" si="28"/>
        <v>128</v>
      </c>
      <c r="L313" s="1">
        <v>2690</v>
      </c>
    </row>
    <row r="314" spans="1:12" x14ac:dyDescent="0.25">
      <c r="A314" s="1">
        <f t="shared" si="24"/>
        <v>129.0644645690918</v>
      </c>
      <c r="B314" s="1">
        <f t="shared" si="25"/>
        <v>129064.4645690918</v>
      </c>
      <c r="C314" s="1">
        <f t="shared" si="26"/>
        <v>99840000</v>
      </c>
      <c r="D314" s="1">
        <v>28</v>
      </c>
      <c r="E314" s="1">
        <f t="shared" si="27"/>
        <v>347010</v>
      </c>
      <c r="F314" s="1">
        <f t="shared" si="28"/>
        <v>129</v>
      </c>
      <c r="L314" s="1">
        <v>2690</v>
      </c>
    </row>
    <row r="315" spans="1:12" x14ac:dyDescent="0.25">
      <c r="A315" s="1">
        <f t="shared" ref="A315:A378" si="29">B315/10^3</f>
        <v>130.06496429443359</v>
      </c>
      <c r="B315" s="1">
        <f t="shared" ref="B315:B378" si="30">(E315/2^D315)*C315</f>
        <v>130064.96429443359</v>
      </c>
      <c r="C315" s="1">
        <f t="shared" ref="C315:C378" si="31">99.84*10^6</f>
        <v>99840000</v>
      </c>
      <c r="D315" s="1">
        <v>28</v>
      </c>
      <c r="E315" s="1">
        <f t="shared" ref="E315:E378" si="32">L315*F315</f>
        <v>349700</v>
      </c>
      <c r="F315" s="1">
        <f t="shared" si="28"/>
        <v>130</v>
      </c>
      <c r="L315" s="1">
        <v>2690</v>
      </c>
    </row>
    <row r="316" spans="1:12" x14ac:dyDescent="0.25">
      <c r="A316" s="1">
        <f t="shared" si="29"/>
        <v>131.06546401977539</v>
      </c>
      <c r="B316" s="1">
        <f t="shared" si="30"/>
        <v>131065.46401977539</v>
      </c>
      <c r="C316" s="1">
        <f t="shared" si="31"/>
        <v>99840000</v>
      </c>
      <c r="D316" s="1">
        <v>28</v>
      </c>
      <c r="E316" s="1">
        <f t="shared" si="32"/>
        <v>352390</v>
      </c>
      <c r="F316" s="1">
        <f t="shared" ref="F316:F379" si="33">F315+1</f>
        <v>131</v>
      </c>
      <c r="L316" s="1">
        <v>2690</v>
      </c>
    </row>
    <row r="317" spans="1:12" x14ac:dyDescent="0.25">
      <c r="A317" s="1">
        <f t="shared" si="29"/>
        <v>132.06596374511719</v>
      </c>
      <c r="B317" s="1">
        <f t="shared" si="30"/>
        <v>132065.96374511719</v>
      </c>
      <c r="C317" s="1">
        <f t="shared" si="31"/>
        <v>99840000</v>
      </c>
      <c r="D317" s="1">
        <v>28</v>
      </c>
      <c r="E317" s="1">
        <f t="shared" si="32"/>
        <v>355080</v>
      </c>
      <c r="F317" s="1">
        <f t="shared" si="33"/>
        <v>132</v>
      </c>
      <c r="L317" s="1">
        <v>2690</v>
      </c>
    </row>
    <row r="318" spans="1:12" x14ac:dyDescent="0.25">
      <c r="A318" s="1">
        <f t="shared" si="29"/>
        <v>133.06646347045898</v>
      </c>
      <c r="B318" s="1">
        <f t="shared" si="30"/>
        <v>133066.46347045898</v>
      </c>
      <c r="C318" s="1">
        <f t="shared" si="31"/>
        <v>99840000</v>
      </c>
      <c r="D318" s="1">
        <v>28</v>
      </c>
      <c r="E318" s="1">
        <f t="shared" si="32"/>
        <v>357770</v>
      </c>
      <c r="F318" s="1">
        <f t="shared" si="33"/>
        <v>133</v>
      </c>
      <c r="L318" s="1">
        <v>2690</v>
      </c>
    </row>
    <row r="319" spans="1:12" x14ac:dyDescent="0.25">
      <c r="A319" s="1">
        <f t="shared" si="29"/>
        <v>134.06696319580078</v>
      </c>
      <c r="B319" s="1">
        <f t="shared" si="30"/>
        <v>134066.96319580078</v>
      </c>
      <c r="C319" s="1">
        <f t="shared" si="31"/>
        <v>99840000</v>
      </c>
      <c r="D319" s="1">
        <v>28</v>
      </c>
      <c r="E319" s="1">
        <f t="shared" si="32"/>
        <v>360460</v>
      </c>
      <c r="F319" s="1">
        <f t="shared" si="33"/>
        <v>134</v>
      </c>
      <c r="L319" s="1">
        <v>2690</v>
      </c>
    </row>
    <row r="320" spans="1:12" x14ac:dyDescent="0.25">
      <c r="A320" s="1">
        <f t="shared" si="29"/>
        <v>135.06746292114258</v>
      </c>
      <c r="B320" s="1">
        <f t="shared" si="30"/>
        <v>135067.46292114258</v>
      </c>
      <c r="C320" s="1">
        <f t="shared" si="31"/>
        <v>99840000</v>
      </c>
      <c r="D320" s="1">
        <v>28</v>
      </c>
      <c r="E320" s="1">
        <f t="shared" si="32"/>
        <v>363150</v>
      </c>
      <c r="F320" s="1">
        <f t="shared" si="33"/>
        <v>135</v>
      </c>
      <c r="L320" s="1">
        <v>2690</v>
      </c>
    </row>
    <row r="321" spans="1:12" x14ac:dyDescent="0.25">
      <c r="A321" s="1">
        <f t="shared" si="29"/>
        <v>136.06796264648438</v>
      </c>
      <c r="B321" s="1">
        <f t="shared" si="30"/>
        <v>136067.96264648438</v>
      </c>
      <c r="C321" s="1">
        <f t="shared" si="31"/>
        <v>99840000</v>
      </c>
      <c r="D321" s="1">
        <v>28</v>
      </c>
      <c r="E321" s="1">
        <f t="shared" si="32"/>
        <v>365840</v>
      </c>
      <c r="F321" s="1">
        <f t="shared" si="33"/>
        <v>136</v>
      </c>
      <c r="L321" s="1">
        <v>2690</v>
      </c>
    </row>
    <row r="322" spans="1:12" x14ac:dyDescent="0.25">
      <c r="A322" s="1">
        <f t="shared" si="29"/>
        <v>137.06846237182617</v>
      </c>
      <c r="B322" s="1">
        <f t="shared" si="30"/>
        <v>137068.46237182617</v>
      </c>
      <c r="C322" s="1">
        <f t="shared" si="31"/>
        <v>99840000</v>
      </c>
      <c r="D322" s="1">
        <v>28</v>
      </c>
      <c r="E322" s="1">
        <f t="shared" si="32"/>
        <v>368530</v>
      </c>
      <c r="F322" s="1">
        <f t="shared" si="33"/>
        <v>137</v>
      </c>
      <c r="L322" s="1">
        <v>2690</v>
      </c>
    </row>
    <row r="323" spans="1:12" x14ac:dyDescent="0.25">
      <c r="A323" s="1">
        <f t="shared" si="29"/>
        <v>138.06896209716797</v>
      </c>
      <c r="B323" s="1">
        <f t="shared" si="30"/>
        <v>138068.96209716797</v>
      </c>
      <c r="C323" s="1">
        <f t="shared" si="31"/>
        <v>99840000</v>
      </c>
      <c r="D323" s="1">
        <v>28</v>
      </c>
      <c r="E323" s="1">
        <f t="shared" si="32"/>
        <v>371220</v>
      </c>
      <c r="F323" s="1">
        <f t="shared" si="33"/>
        <v>138</v>
      </c>
      <c r="L323" s="1">
        <v>2690</v>
      </c>
    </row>
    <row r="324" spans="1:12" x14ac:dyDescent="0.25">
      <c r="A324" s="1">
        <f t="shared" si="29"/>
        <v>139.06946182250977</v>
      </c>
      <c r="B324" s="1">
        <f t="shared" si="30"/>
        <v>139069.46182250977</v>
      </c>
      <c r="C324" s="1">
        <f t="shared" si="31"/>
        <v>99840000</v>
      </c>
      <c r="D324" s="1">
        <v>28</v>
      </c>
      <c r="E324" s="1">
        <f t="shared" si="32"/>
        <v>373910</v>
      </c>
      <c r="F324" s="1">
        <f t="shared" si="33"/>
        <v>139</v>
      </c>
      <c r="L324" s="1">
        <v>2690</v>
      </c>
    </row>
    <row r="325" spans="1:12" x14ac:dyDescent="0.25">
      <c r="A325" s="1">
        <f t="shared" si="29"/>
        <v>140.06996154785156</v>
      </c>
      <c r="B325" s="1">
        <f t="shared" si="30"/>
        <v>140069.96154785156</v>
      </c>
      <c r="C325" s="1">
        <f t="shared" si="31"/>
        <v>99840000</v>
      </c>
      <c r="D325" s="1">
        <v>28</v>
      </c>
      <c r="E325" s="1">
        <f t="shared" si="32"/>
        <v>376600</v>
      </c>
      <c r="F325" s="1">
        <f t="shared" si="33"/>
        <v>140</v>
      </c>
      <c r="L325" s="1">
        <v>2690</v>
      </c>
    </row>
    <row r="326" spans="1:12" x14ac:dyDescent="0.25">
      <c r="A326" s="1">
        <f t="shared" si="29"/>
        <v>141.07046127319336</v>
      </c>
      <c r="B326" s="1">
        <f t="shared" si="30"/>
        <v>141070.46127319336</v>
      </c>
      <c r="C326" s="1">
        <f t="shared" si="31"/>
        <v>99840000</v>
      </c>
      <c r="D326" s="1">
        <v>28</v>
      </c>
      <c r="E326" s="1">
        <f t="shared" si="32"/>
        <v>379290</v>
      </c>
      <c r="F326" s="1">
        <f t="shared" si="33"/>
        <v>141</v>
      </c>
      <c r="L326" s="1">
        <v>2690</v>
      </c>
    </row>
    <row r="327" spans="1:12" x14ac:dyDescent="0.25">
      <c r="A327" s="1">
        <f t="shared" si="29"/>
        <v>142.07096099853516</v>
      </c>
      <c r="B327" s="1">
        <f t="shared" si="30"/>
        <v>142070.96099853516</v>
      </c>
      <c r="C327" s="1">
        <f t="shared" si="31"/>
        <v>99840000</v>
      </c>
      <c r="D327" s="1">
        <v>28</v>
      </c>
      <c r="E327" s="1">
        <f t="shared" si="32"/>
        <v>381980</v>
      </c>
      <c r="F327" s="1">
        <f t="shared" si="33"/>
        <v>142</v>
      </c>
      <c r="L327" s="1">
        <v>2690</v>
      </c>
    </row>
    <row r="328" spans="1:12" x14ac:dyDescent="0.25">
      <c r="A328" s="1">
        <f t="shared" si="29"/>
        <v>143.07146072387695</v>
      </c>
      <c r="B328" s="1">
        <f t="shared" si="30"/>
        <v>143071.46072387695</v>
      </c>
      <c r="C328" s="1">
        <f t="shared" si="31"/>
        <v>99840000</v>
      </c>
      <c r="D328" s="1">
        <v>28</v>
      </c>
      <c r="E328" s="1">
        <f t="shared" si="32"/>
        <v>384670</v>
      </c>
      <c r="F328" s="1">
        <f t="shared" si="33"/>
        <v>143</v>
      </c>
      <c r="L328" s="1">
        <v>2690</v>
      </c>
    </row>
    <row r="329" spans="1:12" x14ac:dyDescent="0.25">
      <c r="A329" s="1">
        <f t="shared" si="29"/>
        <v>144.07196044921875</v>
      </c>
      <c r="B329" s="1">
        <f t="shared" si="30"/>
        <v>144071.96044921875</v>
      </c>
      <c r="C329" s="1">
        <f t="shared" si="31"/>
        <v>99840000</v>
      </c>
      <c r="D329" s="1">
        <v>28</v>
      </c>
      <c r="E329" s="1">
        <f t="shared" si="32"/>
        <v>387360</v>
      </c>
      <c r="F329" s="1">
        <f t="shared" si="33"/>
        <v>144</v>
      </c>
      <c r="L329" s="1">
        <v>2690</v>
      </c>
    </row>
    <row r="330" spans="1:12" x14ac:dyDescent="0.25">
      <c r="A330" s="1">
        <f t="shared" si="29"/>
        <v>145.07246017456055</v>
      </c>
      <c r="B330" s="1">
        <f t="shared" si="30"/>
        <v>145072.46017456055</v>
      </c>
      <c r="C330" s="1">
        <f t="shared" si="31"/>
        <v>99840000</v>
      </c>
      <c r="D330" s="1">
        <v>28</v>
      </c>
      <c r="E330" s="1">
        <f t="shared" si="32"/>
        <v>390050</v>
      </c>
      <c r="F330" s="1">
        <f t="shared" si="33"/>
        <v>145</v>
      </c>
      <c r="L330" s="1">
        <v>2690</v>
      </c>
    </row>
    <row r="331" spans="1:12" x14ac:dyDescent="0.25">
      <c r="A331" s="1">
        <f t="shared" si="29"/>
        <v>146.07295989990234</v>
      </c>
      <c r="B331" s="1">
        <f t="shared" si="30"/>
        <v>146072.95989990234</v>
      </c>
      <c r="C331" s="1">
        <f t="shared" si="31"/>
        <v>99840000</v>
      </c>
      <c r="D331" s="1">
        <v>28</v>
      </c>
      <c r="E331" s="1">
        <f t="shared" si="32"/>
        <v>392740</v>
      </c>
      <c r="F331" s="1">
        <f t="shared" si="33"/>
        <v>146</v>
      </c>
      <c r="L331" s="1">
        <v>2690</v>
      </c>
    </row>
    <row r="332" spans="1:12" x14ac:dyDescent="0.25">
      <c r="A332" s="1">
        <f t="shared" si="29"/>
        <v>147.07345962524414</v>
      </c>
      <c r="B332" s="1">
        <f t="shared" si="30"/>
        <v>147073.45962524414</v>
      </c>
      <c r="C332" s="1">
        <f t="shared" si="31"/>
        <v>99840000</v>
      </c>
      <c r="D332" s="1">
        <v>28</v>
      </c>
      <c r="E332" s="1">
        <f t="shared" si="32"/>
        <v>395430</v>
      </c>
      <c r="F332" s="1">
        <f t="shared" si="33"/>
        <v>147</v>
      </c>
      <c r="L332" s="1">
        <v>2690</v>
      </c>
    </row>
    <row r="333" spans="1:12" x14ac:dyDescent="0.25">
      <c r="A333" s="1">
        <f t="shared" si="29"/>
        <v>148.07395935058594</v>
      </c>
      <c r="B333" s="1">
        <f t="shared" si="30"/>
        <v>148073.95935058594</v>
      </c>
      <c r="C333" s="1">
        <f t="shared" si="31"/>
        <v>99840000</v>
      </c>
      <c r="D333" s="1">
        <v>28</v>
      </c>
      <c r="E333" s="1">
        <f t="shared" si="32"/>
        <v>398120</v>
      </c>
      <c r="F333" s="1">
        <f t="shared" si="33"/>
        <v>148</v>
      </c>
      <c r="L333" s="1">
        <v>2690</v>
      </c>
    </row>
    <row r="334" spans="1:12" x14ac:dyDescent="0.25">
      <c r="A334" s="1">
        <f t="shared" si="29"/>
        <v>149.07445907592773</v>
      </c>
      <c r="B334" s="1">
        <f t="shared" si="30"/>
        <v>149074.45907592773</v>
      </c>
      <c r="C334" s="1">
        <f t="shared" si="31"/>
        <v>99840000</v>
      </c>
      <c r="D334" s="1">
        <v>28</v>
      </c>
      <c r="E334" s="1">
        <f t="shared" si="32"/>
        <v>400810</v>
      </c>
      <c r="F334" s="1">
        <f t="shared" si="33"/>
        <v>149</v>
      </c>
      <c r="L334" s="1">
        <v>2690</v>
      </c>
    </row>
    <row r="335" spans="1:12" x14ac:dyDescent="0.25">
      <c r="A335" s="1">
        <f t="shared" si="29"/>
        <v>150.07495880126953</v>
      </c>
      <c r="B335" s="1">
        <f t="shared" si="30"/>
        <v>150074.95880126953</v>
      </c>
      <c r="C335" s="1">
        <f t="shared" si="31"/>
        <v>99840000</v>
      </c>
      <c r="D335" s="1">
        <v>28</v>
      </c>
      <c r="E335" s="1">
        <f t="shared" si="32"/>
        <v>403500</v>
      </c>
      <c r="F335" s="1">
        <f t="shared" si="33"/>
        <v>150</v>
      </c>
      <c r="L335" s="1">
        <v>2690</v>
      </c>
    </row>
    <row r="336" spans="1:12" x14ac:dyDescent="0.25">
      <c r="A336" s="1">
        <f t="shared" si="29"/>
        <v>151.07545852661133</v>
      </c>
      <c r="B336" s="1">
        <f t="shared" si="30"/>
        <v>151075.45852661133</v>
      </c>
      <c r="C336" s="1">
        <f t="shared" si="31"/>
        <v>99840000</v>
      </c>
      <c r="D336" s="1">
        <v>28</v>
      </c>
      <c r="E336" s="1">
        <f t="shared" si="32"/>
        <v>406190</v>
      </c>
      <c r="F336" s="1">
        <f t="shared" si="33"/>
        <v>151</v>
      </c>
      <c r="L336" s="1">
        <v>2690</v>
      </c>
    </row>
    <row r="337" spans="1:12" x14ac:dyDescent="0.25">
      <c r="A337" s="1">
        <f t="shared" si="29"/>
        <v>152.07595825195313</v>
      </c>
      <c r="B337" s="1">
        <f t="shared" si="30"/>
        <v>152075.95825195313</v>
      </c>
      <c r="C337" s="1">
        <f t="shared" si="31"/>
        <v>99840000</v>
      </c>
      <c r="D337" s="1">
        <v>28</v>
      </c>
      <c r="E337" s="1">
        <f t="shared" si="32"/>
        <v>408880</v>
      </c>
      <c r="F337" s="1">
        <f t="shared" si="33"/>
        <v>152</v>
      </c>
      <c r="L337" s="1">
        <v>2690</v>
      </c>
    </row>
    <row r="338" spans="1:12" x14ac:dyDescent="0.25">
      <c r="A338" s="1">
        <f t="shared" si="29"/>
        <v>153.07645797729492</v>
      </c>
      <c r="B338" s="1">
        <f t="shared" si="30"/>
        <v>153076.45797729492</v>
      </c>
      <c r="C338" s="1">
        <f t="shared" si="31"/>
        <v>99840000</v>
      </c>
      <c r="D338" s="1">
        <v>28</v>
      </c>
      <c r="E338" s="1">
        <f t="shared" si="32"/>
        <v>411570</v>
      </c>
      <c r="F338" s="1">
        <f t="shared" si="33"/>
        <v>153</v>
      </c>
      <c r="L338" s="1">
        <v>2690</v>
      </c>
    </row>
    <row r="339" spans="1:12" x14ac:dyDescent="0.25">
      <c r="A339" s="1">
        <f t="shared" si="29"/>
        <v>154.07695770263672</v>
      </c>
      <c r="B339" s="1">
        <f t="shared" si="30"/>
        <v>154076.95770263672</v>
      </c>
      <c r="C339" s="1">
        <f t="shared" si="31"/>
        <v>99840000</v>
      </c>
      <c r="D339" s="1">
        <v>28</v>
      </c>
      <c r="E339" s="1">
        <f t="shared" si="32"/>
        <v>414260</v>
      </c>
      <c r="F339" s="1">
        <f t="shared" si="33"/>
        <v>154</v>
      </c>
      <c r="L339" s="1">
        <v>2690</v>
      </c>
    </row>
    <row r="340" spans="1:12" x14ac:dyDescent="0.25">
      <c r="A340" s="1">
        <f t="shared" si="29"/>
        <v>155.07745742797852</v>
      </c>
      <c r="B340" s="1">
        <f t="shared" si="30"/>
        <v>155077.45742797852</v>
      </c>
      <c r="C340" s="1">
        <f t="shared" si="31"/>
        <v>99840000</v>
      </c>
      <c r="D340" s="1">
        <v>28</v>
      </c>
      <c r="E340" s="1">
        <f t="shared" si="32"/>
        <v>416950</v>
      </c>
      <c r="F340" s="1">
        <f t="shared" si="33"/>
        <v>155</v>
      </c>
      <c r="L340" s="1">
        <v>2690</v>
      </c>
    </row>
    <row r="341" spans="1:12" x14ac:dyDescent="0.25">
      <c r="A341" s="1">
        <f t="shared" si="29"/>
        <v>156.07795715332031</v>
      </c>
      <c r="B341" s="1">
        <f t="shared" si="30"/>
        <v>156077.95715332031</v>
      </c>
      <c r="C341" s="1">
        <f t="shared" si="31"/>
        <v>99840000</v>
      </c>
      <c r="D341" s="1">
        <v>28</v>
      </c>
      <c r="E341" s="1">
        <f t="shared" si="32"/>
        <v>419640</v>
      </c>
      <c r="F341" s="1">
        <f t="shared" si="33"/>
        <v>156</v>
      </c>
      <c r="L341" s="1">
        <v>2690</v>
      </c>
    </row>
    <row r="342" spans="1:12" x14ac:dyDescent="0.25">
      <c r="A342" s="1">
        <f t="shared" si="29"/>
        <v>157.07845687866211</v>
      </c>
      <c r="B342" s="1">
        <f t="shared" si="30"/>
        <v>157078.45687866211</v>
      </c>
      <c r="C342" s="1">
        <f t="shared" si="31"/>
        <v>99840000</v>
      </c>
      <c r="D342" s="1">
        <v>28</v>
      </c>
      <c r="E342" s="1">
        <f t="shared" si="32"/>
        <v>422330</v>
      </c>
      <c r="F342" s="1">
        <f t="shared" si="33"/>
        <v>157</v>
      </c>
      <c r="L342" s="1">
        <v>2690</v>
      </c>
    </row>
    <row r="343" spans="1:12" x14ac:dyDescent="0.25">
      <c r="A343" s="1">
        <f t="shared" si="29"/>
        <v>158.07895660400391</v>
      </c>
      <c r="B343" s="1">
        <f t="shared" si="30"/>
        <v>158078.95660400391</v>
      </c>
      <c r="C343" s="1">
        <f t="shared" si="31"/>
        <v>99840000</v>
      </c>
      <c r="D343" s="1">
        <v>28</v>
      </c>
      <c r="E343" s="1">
        <f t="shared" si="32"/>
        <v>425020</v>
      </c>
      <c r="F343" s="1">
        <f t="shared" si="33"/>
        <v>158</v>
      </c>
      <c r="L343" s="1">
        <v>2690</v>
      </c>
    </row>
    <row r="344" spans="1:12" x14ac:dyDescent="0.25">
      <c r="A344" s="1">
        <f t="shared" si="29"/>
        <v>159.0794563293457</v>
      </c>
      <c r="B344" s="1">
        <f t="shared" si="30"/>
        <v>159079.4563293457</v>
      </c>
      <c r="C344" s="1">
        <f t="shared" si="31"/>
        <v>99840000</v>
      </c>
      <c r="D344" s="1">
        <v>28</v>
      </c>
      <c r="E344" s="1">
        <f t="shared" si="32"/>
        <v>427710</v>
      </c>
      <c r="F344" s="1">
        <f t="shared" si="33"/>
        <v>159</v>
      </c>
      <c r="L344" s="1">
        <v>2690</v>
      </c>
    </row>
    <row r="345" spans="1:12" x14ac:dyDescent="0.25">
      <c r="A345" s="1">
        <f t="shared" si="29"/>
        <v>160.0799560546875</v>
      </c>
      <c r="B345" s="1">
        <f t="shared" si="30"/>
        <v>160079.9560546875</v>
      </c>
      <c r="C345" s="1">
        <f t="shared" si="31"/>
        <v>99840000</v>
      </c>
      <c r="D345" s="1">
        <v>28</v>
      </c>
      <c r="E345" s="1">
        <f t="shared" si="32"/>
        <v>430400</v>
      </c>
      <c r="F345" s="1">
        <f t="shared" si="33"/>
        <v>160</v>
      </c>
      <c r="L345" s="1">
        <v>2690</v>
      </c>
    </row>
    <row r="346" spans="1:12" x14ac:dyDescent="0.25">
      <c r="A346" s="1">
        <f t="shared" si="29"/>
        <v>161.0804557800293</v>
      </c>
      <c r="B346" s="1">
        <f t="shared" si="30"/>
        <v>161080.4557800293</v>
      </c>
      <c r="C346" s="1">
        <f t="shared" si="31"/>
        <v>99840000</v>
      </c>
      <c r="D346" s="1">
        <v>28</v>
      </c>
      <c r="E346" s="1">
        <f t="shared" si="32"/>
        <v>433090</v>
      </c>
      <c r="F346" s="1">
        <f t="shared" si="33"/>
        <v>161</v>
      </c>
      <c r="L346" s="1">
        <v>2690</v>
      </c>
    </row>
    <row r="347" spans="1:12" x14ac:dyDescent="0.25">
      <c r="A347" s="1">
        <f t="shared" si="29"/>
        <v>162.08095550537109</v>
      </c>
      <c r="B347" s="1">
        <f t="shared" si="30"/>
        <v>162080.95550537109</v>
      </c>
      <c r="C347" s="1">
        <f t="shared" si="31"/>
        <v>99840000</v>
      </c>
      <c r="D347" s="1">
        <v>28</v>
      </c>
      <c r="E347" s="1">
        <f t="shared" si="32"/>
        <v>435780</v>
      </c>
      <c r="F347" s="1">
        <f t="shared" si="33"/>
        <v>162</v>
      </c>
      <c r="L347" s="1">
        <v>2690</v>
      </c>
    </row>
    <row r="348" spans="1:12" x14ac:dyDescent="0.25">
      <c r="A348" s="1">
        <f t="shared" si="29"/>
        <v>163.08145523071289</v>
      </c>
      <c r="B348" s="1">
        <f t="shared" si="30"/>
        <v>163081.45523071289</v>
      </c>
      <c r="C348" s="1">
        <f t="shared" si="31"/>
        <v>99840000</v>
      </c>
      <c r="D348" s="1">
        <v>28</v>
      </c>
      <c r="E348" s="1">
        <f t="shared" si="32"/>
        <v>438470</v>
      </c>
      <c r="F348" s="1">
        <f t="shared" si="33"/>
        <v>163</v>
      </c>
      <c r="L348" s="1">
        <v>2690</v>
      </c>
    </row>
    <row r="349" spans="1:12" x14ac:dyDescent="0.25">
      <c r="A349" s="1">
        <f t="shared" si="29"/>
        <v>164.08195495605469</v>
      </c>
      <c r="B349" s="1">
        <f t="shared" si="30"/>
        <v>164081.95495605469</v>
      </c>
      <c r="C349" s="1">
        <f t="shared" si="31"/>
        <v>99840000</v>
      </c>
      <c r="D349" s="1">
        <v>28</v>
      </c>
      <c r="E349" s="1">
        <f t="shared" si="32"/>
        <v>441160</v>
      </c>
      <c r="F349" s="1">
        <f t="shared" si="33"/>
        <v>164</v>
      </c>
      <c r="L349" s="1">
        <v>2690</v>
      </c>
    </row>
    <row r="350" spans="1:12" x14ac:dyDescent="0.25">
      <c r="A350" s="1">
        <f t="shared" si="29"/>
        <v>165.08245468139648</v>
      </c>
      <c r="B350" s="1">
        <f t="shared" si="30"/>
        <v>165082.45468139648</v>
      </c>
      <c r="C350" s="1">
        <f t="shared" si="31"/>
        <v>99840000</v>
      </c>
      <c r="D350" s="1">
        <v>28</v>
      </c>
      <c r="E350" s="1">
        <f t="shared" si="32"/>
        <v>443850</v>
      </c>
      <c r="F350" s="1">
        <f t="shared" si="33"/>
        <v>165</v>
      </c>
      <c r="L350" s="1">
        <v>2690</v>
      </c>
    </row>
    <row r="351" spans="1:12" x14ac:dyDescent="0.25">
      <c r="A351" s="1">
        <f t="shared" si="29"/>
        <v>166.08295440673828</v>
      </c>
      <c r="B351" s="1">
        <f t="shared" si="30"/>
        <v>166082.95440673828</v>
      </c>
      <c r="C351" s="1">
        <f t="shared" si="31"/>
        <v>99840000</v>
      </c>
      <c r="D351" s="1">
        <v>28</v>
      </c>
      <c r="E351" s="1">
        <f t="shared" si="32"/>
        <v>446540</v>
      </c>
      <c r="F351" s="1">
        <f t="shared" si="33"/>
        <v>166</v>
      </c>
      <c r="L351" s="1">
        <v>2690</v>
      </c>
    </row>
    <row r="352" spans="1:12" x14ac:dyDescent="0.25">
      <c r="A352" s="1">
        <f t="shared" si="29"/>
        <v>167.08345413208008</v>
      </c>
      <c r="B352" s="1">
        <f t="shared" si="30"/>
        <v>167083.45413208008</v>
      </c>
      <c r="C352" s="1">
        <f t="shared" si="31"/>
        <v>99840000</v>
      </c>
      <c r="D352" s="1">
        <v>28</v>
      </c>
      <c r="E352" s="1">
        <f t="shared" si="32"/>
        <v>449230</v>
      </c>
      <c r="F352" s="1">
        <f t="shared" si="33"/>
        <v>167</v>
      </c>
      <c r="L352" s="1">
        <v>2690</v>
      </c>
    </row>
    <row r="353" spans="1:12" x14ac:dyDescent="0.25">
      <c r="A353" s="1">
        <f t="shared" si="29"/>
        <v>168.08395385742188</v>
      </c>
      <c r="B353" s="1">
        <f t="shared" si="30"/>
        <v>168083.95385742188</v>
      </c>
      <c r="C353" s="1">
        <f t="shared" si="31"/>
        <v>99840000</v>
      </c>
      <c r="D353" s="1">
        <v>28</v>
      </c>
      <c r="E353" s="1">
        <f t="shared" si="32"/>
        <v>451920</v>
      </c>
      <c r="F353" s="1">
        <f t="shared" si="33"/>
        <v>168</v>
      </c>
      <c r="L353" s="1">
        <v>2690</v>
      </c>
    </row>
    <row r="354" spans="1:12" x14ac:dyDescent="0.25">
      <c r="A354" s="1">
        <f t="shared" si="29"/>
        <v>169.08445358276367</v>
      </c>
      <c r="B354" s="1">
        <f t="shared" si="30"/>
        <v>169084.45358276367</v>
      </c>
      <c r="C354" s="1">
        <f t="shared" si="31"/>
        <v>99840000</v>
      </c>
      <c r="D354" s="1">
        <v>28</v>
      </c>
      <c r="E354" s="1">
        <f t="shared" si="32"/>
        <v>454610</v>
      </c>
      <c r="F354" s="1">
        <f t="shared" si="33"/>
        <v>169</v>
      </c>
      <c r="L354" s="1">
        <v>2690</v>
      </c>
    </row>
    <row r="355" spans="1:12" x14ac:dyDescent="0.25">
      <c r="A355" s="1">
        <f t="shared" si="29"/>
        <v>170.08495330810547</v>
      </c>
      <c r="B355" s="1">
        <f t="shared" si="30"/>
        <v>170084.95330810547</v>
      </c>
      <c r="C355" s="1">
        <f t="shared" si="31"/>
        <v>99840000</v>
      </c>
      <c r="D355" s="1">
        <v>28</v>
      </c>
      <c r="E355" s="1">
        <f t="shared" si="32"/>
        <v>457300</v>
      </c>
      <c r="F355" s="1">
        <f t="shared" si="33"/>
        <v>170</v>
      </c>
      <c r="L355" s="1">
        <v>2690</v>
      </c>
    </row>
    <row r="356" spans="1:12" x14ac:dyDescent="0.25">
      <c r="A356" s="1">
        <f t="shared" si="29"/>
        <v>171.08545303344727</v>
      </c>
      <c r="B356" s="1">
        <f t="shared" si="30"/>
        <v>171085.45303344727</v>
      </c>
      <c r="C356" s="1">
        <f t="shared" si="31"/>
        <v>99840000</v>
      </c>
      <c r="D356" s="1">
        <v>28</v>
      </c>
      <c r="E356" s="1">
        <f t="shared" si="32"/>
        <v>459990</v>
      </c>
      <c r="F356" s="1">
        <f t="shared" si="33"/>
        <v>171</v>
      </c>
      <c r="L356" s="1">
        <v>2690</v>
      </c>
    </row>
    <row r="357" spans="1:12" x14ac:dyDescent="0.25">
      <c r="A357" s="1">
        <f t="shared" si="29"/>
        <v>172.08595275878906</v>
      </c>
      <c r="B357" s="1">
        <f t="shared" si="30"/>
        <v>172085.95275878906</v>
      </c>
      <c r="C357" s="1">
        <f t="shared" si="31"/>
        <v>99840000</v>
      </c>
      <c r="D357" s="1">
        <v>28</v>
      </c>
      <c r="E357" s="1">
        <f t="shared" si="32"/>
        <v>462680</v>
      </c>
      <c r="F357" s="1">
        <f t="shared" si="33"/>
        <v>172</v>
      </c>
      <c r="L357" s="1">
        <v>2690</v>
      </c>
    </row>
    <row r="358" spans="1:12" x14ac:dyDescent="0.25">
      <c r="A358" s="1">
        <f t="shared" si="29"/>
        <v>173.08645248413086</v>
      </c>
      <c r="B358" s="1">
        <f t="shared" si="30"/>
        <v>173086.45248413086</v>
      </c>
      <c r="C358" s="1">
        <f t="shared" si="31"/>
        <v>99840000</v>
      </c>
      <c r="D358" s="1">
        <v>28</v>
      </c>
      <c r="E358" s="1">
        <f t="shared" si="32"/>
        <v>465370</v>
      </c>
      <c r="F358" s="1">
        <f t="shared" si="33"/>
        <v>173</v>
      </c>
      <c r="L358" s="1">
        <v>2690</v>
      </c>
    </row>
    <row r="359" spans="1:12" x14ac:dyDescent="0.25">
      <c r="A359" s="1">
        <f t="shared" si="29"/>
        <v>174.08695220947266</v>
      </c>
      <c r="B359" s="1">
        <f t="shared" si="30"/>
        <v>174086.95220947266</v>
      </c>
      <c r="C359" s="1">
        <f t="shared" si="31"/>
        <v>99840000</v>
      </c>
      <c r="D359" s="1">
        <v>28</v>
      </c>
      <c r="E359" s="1">
        <f t="shared" si="32"/>
        <v>468060</v>
      </c>
      <c r="F359" s="1">
        <f t="shared" si="33"/>
        <v>174</v>
      </c>
      <c r="L359" s="1">
        <v>2690</v>
      </c>
    </row>
    <row r="360" spans="1:12" x14ac:dyDescent="0.25">
      <c r="A360" s="1">
        <f t="shared" si="29"/>
        <v>175.08745193481445</v>
      </c>
      <c r="B360" s="1">
        <f t="shared" si="30"/>
        <v>175087.45193481445</v>
      </c>
      <c r="C360" s="1">
        <f t="shared" si="31"/>
        <v>99840000</v>
      </c>
      <c r="D360" s="1">
        <v>28</v>
      </c>
      <c r="E360" s="1">
        <f t="shared" si="32"/>
        <v>470750</v>
      </c>
      <c r="F360" s="1">
        <f t="shared" si="33"/>
        <v>175</v>
      </c>
      <c r="L360" s="1">
        <v>2690</v>
      </c>
    </row>
    <row r="361" spans="1:12" x14ac:dyDescent="0.25">
      <c r="A361" s="1">
        <f t="shared" si="29"/>
        <v>176.08795166015625</v>
      </c>
      <c r="B361" s="1">
        <f t="shared" si="30"/>
        <v>176087.95166015625</v>
      </c>
      <c r="C361" s="1">
        <f t="shared" si="31"/>
        <v>99840000</v>
      </c>
      <c r="D361" s="1">
        <v>28</v>
      </c>
      <c r="E361" s="1">
        <f t="shared" si="32"/>
        <v>473440</v>
      </c>
      <c r="F361" s="1">
        <f t="shared" si="33"/>
        <v>176</v>
      </c>
      <c r="L361" s="1">
        <v>2690</v>
      </c>
    </row>
    <row r="362" spans="1:12" x14ac:dyDescent="0.25">
      <c r="A362" s="1">
        <f t="shared" si="29"/>
        <v>177.08845138549805</v>
      </c>
      <c r="B362" s="1">
        <f t="shared" si="30"/>
        <v>177088.45138549805</v>
      </c>
      <c r="C362" s="1">
        <f t="shared" si="31"/>
        <v>99840000</v>
      </c>
      <c r="D362" s="1">
        <v>28</v>
      </c>
      <c r="E362" s="1">
        <f t="shared" si="32"/>
        <v>476130</v>
      </c>
      <c r="F362" s="1">
        <f t="shared" si="33"/>
        <v>177</v>
      </c>
      <c r="L362" s="1">
        <v>2690</v>
      </c>
    </row>
    <row r="363" spans="1:12" x14ac:dyDescent="0.25">
      <c r="A363" s="1">
        <f t="shared" si="29"/>
        <v>178.08895111083984</v>
      </c>
      <c r="B363" s="1">
        <f t="shared" si="30"/>
        <v>178088.95111083984</v>
      </c>
      <c r="C363" s="1">
        <f t="shared" si="31"/>
        <v>99840000</v>
      </c>
      <c r="D363" s="1">
        <v>28</v>
      </c>
      <c r="E363" s="1">
        <f t="shared" si="32"/>
        <v>478820</v>
      </c>
      <c r="F363" s="1">
        <f t="shared" si="33"/>
        <v>178</v>
      </c>
      <c r="L363" s="1">
        <v>2690</v>
      </c>
    </row>
    <row r="364" spans="1:12" x14ac:dyDescent="0.25">
      <c r="A364" s="1">
        <f t="shared" si="29"/>
        <v>179.08945083618164</v>
      </c>
      <c r="B364" s="1">
        <f t="shared" si="30"/>
        <v>179089.45083618164</v>
      </c>
      <c r="C364" s="1">
        <f t="shared" si="31"/>
        <v>99840000</v>
      </c>
      <c r="D364" s="1">
        <v>28</v>
      </c>
      <c r="E364" s="1">
        <f t="shared" si="32"/>
        <v>481510</v>
      </c>
      <c r="F364" s="1">
        <f t="shared" si="33"/>
        <v>179</v>
      </c>
      <c r="L364" s="1">
        <v>2690</v>
      </c>
    </row>
    <row r="365" spans="1:12" x14ac:dyDescent="0.25">
      <c r="A365" s="1">
        <f t="shared" si="29"/>
        <v>180.08995056152344</v>
      </c>
      <c r="B365" s="1">
        <f t="shared" si="30"/>
        <v>180089.95056152344</v>
      </c>
      <c r="C365" s="1">
        <f t="shared" si="31"/>
        <v>99840000</v>
      </c>
      <c r="D365" s="1">
        <v>28</v>
      </c>
      <c r="E365" s="1">
        <f t="shared" si="32"/>
        <v>484200</v>
      </c>
      <c r="F365" s="1">
        <f t="shared" si="33"/>
        <v>180</v>
      </c>
      <c r="L365" s="1">
        <v>2690</v>
      </c>
    </row>
    <row r="366" spans="1:12" x14ac:dyDescent="0.25">
      <c r="A366" s="1">
        <f t="shared" si="29"/>
        <v>181.09045028686523</v>
      </c>
      <c r="B366" s="1">
        <f t="shared" si="30"/>
        <v>181090.45028686523</v>
      </c>
      <c r="C366" s="1">
        <f t="shared" si="31"/>
        <v>99840000</v>
      </c>
      <c r="D366" s="1">
        <v>28</v>
      </c>
      <c r="E366" s="1">
        <f t="shared" si="32"/>
        <v>486890</v>
      </c>
      <c r="F366" s="1">
        <f t="shared" si="33"/>
        <v>181</v>
      </c>
      <c r="L366" s="1">
        <v>2690</v>
      </c>
    </row>
    <row r="367" spans="1:12" x14ac:dyDescent="0.25">
      <c r="A367" s="1">
        <f t="shared" si="29"/>
        <v>182.09095001220703</v>
      </c>
      <c r="B367" s="1">
        <f t="shared" si="30"/>
        <v>182090.95001220703</v>
      </c>
      <c r="C367" s="1">
        <f t="shared" si="31"/>
        <v>99840000</v>
      </c>
      <c r="D367" s="1">
        <v>28</v>
      </c>
      <c r="E367" s="1">
        <f t="shared" si="32"/>
        <v>489580</v>
      </c>
      <c r="F367" s="1">
        <f t="shared" si="33"/>
        <v>182</v>
      </c>
      <c r="L367" s="1">
        <v>2690</v>
      </c>
    </row>
    <row r="368" spans="1:12" x14ac:dyDescent="0.25">
      <c r="A368" s="1">
        <f t="shared" si="29"/>
        <v>183.09144973754883</v>
      </c>
      <c r="B368" s="1">
        <f t="shared" si="30"/>
        <v>183091.44973754883</v>
      </c>
      <c r="C368" s="1">
        <f t="shared" si="31"/>
        <v>99840000</v>
      </c>
      <c r="D368" s="1">
        <v>28</v>
      </c>
      <c r="E368" s="1">
        <f t="shared" si="32"/>
        <v>492270</v>
      </c>
      <c r="F368" s="1">
        <f t="shared" si="33"/>
        <v>183</v>
      </c>
      <c r="L368" s="1">
        <v>2690</v>
      </c>
    </row>
    <row r="369" spans="1:12" x14ac:dyDescent="0.25">
      <c r="A369" s="1">
        <f t="shared" si="29"/>
        <v>184.09194946289063</v>
      </c>
      <c r="B369" s="1">
        <f t="shared" si="30"/>
        <v>184091.94946289063</v>
      </c>
      <c r="C369" s="1">
        <f t="shared" si="31"/>
        <v>99840000</v>
      </c>
      <c r="D369" s="1">
        <v>28</v>
      </c>
      <c r="E369" s="1">
        <f t="shared" si="32"/>
        <v>494960</v>
      </c>
      <c r="F369" s="1">
        <f t="shared" si="33"/>
        <v>184</v>
      </c>
      <c r="L369" s="1">
        <v>2690</v>
      </c>
    </row>
    <row r="370" spans="1:12" x14ac:dyDescent="0.25">
      <c r="A370" s="1">
        <f t="shared" si="29"/>
        <v>185.09244918823242</v>
      </c>
      <c r="B370" s="1">
        <f t="shared" si="30"/>
        <v>185092.44918823242</v>
      </c>
      <c r="C370" s="1">
        <f t="shared" si="31"/>
        <v>99840000</v>
      </c>
      <c r="D370" s="1">
        <v>28</v>
      </c>
      <c r="E370" s="1">
        <f t="shared" si="32"/>
        <v>497650</v>
      </c>
      <c r="F370" s="1">
        <f t="shared" si="33"/>
        <v>185</v>
      </c>
      <c r="L370" s="1">
        <v>2690</v>
      </c>
    </row>
    <row r="371" spans="1:12" x14ac:dyDescent="0.25">
      <c r="A371" s="1">
        <f t="shared" si="29"/>
        <v>186.09294891357422</v>
      </c>
      <c r="B371" s="1">
        <f t="shared" si="30"/>
        <v>186092.94891357422</v>
      </c>
      <c r="C371" s="1">
        <f t="shared" si="31"/>
        <v>99840000</v>
      </c>
      <c r="D371" s="1">
        <v>28</v>
      </c>
      <c r="E371" s="1">
        <f t="shared" si="32"/>
        <v>500340</v>
      </c>
      <c r="F371" s="1">
        <f t="shared" si="33"/>
        <v>186</v>
      </c>
      <c r="L371" s="1">
        <v>2690</v>
      </c>
    </row>
    <row r="372" spans="1:12" x14ac:dyDescent="0.25">
      <c r="A372" s="1">
        <f t="shared" si="29"/>
        <v>187.09344863891602</v>
      </c>
      <c r="B372" s="1">
        <f t="shared" si="30"/>
        <v>187093.44863891602</v>
      </c>
      <c r="C372" s="1">
        <f t="shared" si="31"/>
        <v>99840000</v>
      </c>
      <c r="D372" s="1">
        <v>28</v>
      </c>
      <c r="E372" s="1">
        <f t="shared" si="32"/>
        <v>503030</v>
      </c>
      <c r="F372" s="1">
        <f t="shared" si="33"/>
        <v>187</v>
      </c>
      <c r="L372" s="1">
        <v>2690</v>
      </c>
    </row>
    <row r="373" spans="1:12" x14ac:dyDescent="0.25">
      <c r="A373" s="1">
        <f t="shared" si="29"/>
        <v>188.09394836425781</v>
      </c>
      <c r="B373" s="1">
        <f t="shared" si="30"/>
        <v>188093.94836425781</v>
      </c>
      <c r="C373" s="1">
        <f t="shared" si="31"/>
        <v>99840000</v>
      </c>
      <c r="D373" s="1">
        <v>28</v>
      </c>
      <c r="E373" s="1">
        <f t="shared" si="32"/>
        <v>505720</v>
      </c>
      <c r="F373" s="1">
        <f t="shared" si="33"/>
        <v>188</v>
      </c>
      <c r="L373" s="1">
        <v>2690</v>
      </c>
    </row>
    <row r="374" spans="1:12" x14ac:dyDescent="0.25">
      <c r="A374" s="1">
        <f t="shared" si="29"/>
        <v>189.09444808959961</v>
      </c>
      <c r="B374" s="1">
        <f t="shared" si="30"/>
        <v>189094.44808959961</v>
      </c>
      <c r="C374" s="1">
        <f t="shared" si="31"/>
        <v>99840000</v>
      </c>
      <c r="D374" s="1">
        <v>28</v>
      </c>
      <c r="E374" s="1">
        <f t="shared" si="32"/>
        <v>508410</v>
      </c>
      <c r="F374" s="1">
        <f t="shared" si="33"/>
        <v>189</v>
      </c>
      <c r="L374" s="1">
        <v>2690</v>
      </c>
    </row>
    <row r="375" spans="1:12" x14ac:dyDescent="0.25">
      <c r="A375" s="1">
        <f t="shared" si="29"/>
        <v>190.09494781494141</v>
      </c>
      <c r="B375" s="1">
        <f t="shared" si="30"/>
        <v>190094.94781494141</v>
      </c>
      <c r="C375" s="1">
        <f t="shared" si="31"/>
        <v>99840000</v>
      </c>
      <c r="D375" s="1">
        <v>28</v>
      </c>
      <c r="E375" s="1">
        <f t="shared" si="32"/>
        <v>511100</v>
      </c>
      <c r="F375" s="1">
        <f t="shared" si="33"/>
        <v>190</v>
      </c>
      <c r="L375" s="1">
        <v>2690</v>
      </c>
    </row>
    <row r="376" spans="1:12" x14ac:dyDescent="0.25">
      <c r="A376" s="1">
        <f t="shared" si="29"/>
        <v>191.0954475402832</v>
      </c>
      <c r="B376" s="1">
        <f t="shared" si="30"/>
        <v>191095.4475402832</v>
      </c>
      <c r="C376" s="1">
        <f t="shared" si="31"/>
        <v>99840000</v>
      </c>
      <c r="D376" s="1">
        <v>28</v>
      </c>
      <c r="E376" s="1">
        <f t="shared" si="32"/>
        <v>513790</v>
      </c>
      <c r="F376" s="1">
        <f t="shared" si="33"/>
        <v>191</v>
      </c>
      <c r="L376" s="1">
        <v>2690</v>
      </c>
    </row>
    <row r="377" spans="1:12" x14ac:dyDescent="0.25">
      <c r="A377" s="1">
        <f t="shared" si="29"/>
        <v>192.095947265625</v>
      </c>
      <c r="B377" s="1">
        <f t="shared" si="30"/>
        <v>192095.947265625</v>
      </c>
      <c r="C377" s="1">
        <f t="shared" si="31"/>
        <v>99840000</v>
      </c>
      <c r="D377" s="1">
        <v>28</v>
      </c>
      <c r="E377" s="1">
        <f t="shared" si="32"/>
        <v>516480</v>
      </c>
      <c r="F377" s="1">
        <f t="shared" si="33"/>
        <v>192</v>
      </c>
      <c r="L377" s="1">
        <v>2690</v>
      </c>
    </row>
    <row r="378" spans="1:12" x14ac:dyDescent="0.25">
      <c r="A378" s="1">
        <f t="shared" si="29"/>
        <v>193.0964469909668</v>
      </c>
      <c r="B378" s="1">
        <f t="shared" si="30"/>
        <v>193096.4469909668</v>
      </c>
      <c r="C378" s="1">
        <f t="shared" si="31"/>
        <v>99840000</v>
      </c>
      <c r="D378" s="1">
        <v>28</v>
      </c>
      <c r="E378" s="1">
        <f t="shared" si="32"/>
        <v>519170</v>
      </c>
      <c r="F378" s="1">
        <f t="shared" si="33"/>
        <v>193</v>
      </c>
      <c r="L378" s="1">
        <v>2690</v>
      </c>
    </row>
    <row r="379" spans="1:12" x14ac:dyDescent="0.25">
      <c r="A379" s="1">
        <f t="shared" ref="A379:A442" si="34">B379/10^3</f>
        <v>194.09694671630859</v>
      </c>
      <c r="B379" s="1">
        <f t="shared" ref="B379:B442" si="35">(E379/2^D379)*C379</f>
        <v>194096.94671630859</v>
      </c>
      <c r="C379" s="1">
        <f t="shared" ref="C379:C442" si="36">99.84*10^6</f>
        <v>99840000</v>
      </c>
      <c r="D379" s="1">
        <v>28</v>
      </c>
      <c r="E379" s="1">
        <f t="shared" ref="E379:E442" si="37">L379*F379</f>
        <v>521860</v>
      </c>
      <c r="F379" s="1">
        <f t="shared" si="33"/>
        <v>194</v>
      </c>
      <c r="L379" s="1">
        <v>2690</v>
      </c>
    </row>
    <row r="380" spans="1:12" x14ac:dyDescent="0.25">
      <c r="A380" s="1">
        <f t="shared" si="34"/>
        <v>195.09744644165039</v>
      </c>
      <c r="B380" s="1">
        <f t="shared" si="35"/>
        <v>195097.44644165039</v>
      </c>
      <c r="C380" s="1">
        <f t="shared" si="36"/>
        <v>99840000</v>
      </c>
      <c r="D380" s="1">
        <v>28</v>
      </c>
      <c r="E380" s="1">
        <f t="shared" si="37"/>
        <v>524550</v>
      </c>
      <c r="F380" s="1">
        <f t="shared" ref="F380:F443" si="38">F379+1</f>
        <v>195</v>
      </c>
      <c r="L380" s="1">
        <v>2690</v>
      </c>
    </row>
    <row r="381" spans="1:12" x14ac:dyDescent="0.25">
      <c r="A381" s="1">
        <f t="shared" si="34"/>
        <v>196.09794616699219</v>
      </c>
      <c r="B381" s="1">
        <f t="shared" si="35"/>
        <v>196097.94616699219</v>
      </c>
      <c r="C381" s="1">
        <f t="shared" si="36"/>
        <v>99840000</v>
      </c>
      <c r="D381" s="1">
        <v>28</v>
      </c>
      <c r="E381" s="1">
        <f t="shared" si="37"/>
        <v>527240</v>
      </c>
      <c r="F381" s="1">
        <f t="shared" si="38"/>
        <v>196</v>
      </c>
      <c r="L381" s="1">
        <v>2690</v>
      </c>
    </row>
    <row r="382" spans="1:12" x14ac:dyDescent="0.25">
      <c r="A382" s="1">
        <f t="shared" si="34"/>
        <v>197.09844589233398</v>
      </c>
      <c r="B382" s="1">
        <f t="shared" si="35"/>
        <v>197098.44589233398</v>
      </c>
      <c r="C382" s="1">
        <f t="shared" si="36"/>
        <v>99840000</v>
      </c>
      <c r="D382" s="1">
        <v>28</v>
      </c>
      <c r="E382" s="1">
        <f t="shared" si="37"/>
        <v>529930</v>
      </c>
      <c r="F382" s="1">
        <f t="shared" si="38"/>
        <v>197</v>
      </c>
      <c r="L382" s="1">
        <v>2690</v>
      </c>
    </row>
    <row r="383" spans="1:12" x14ac:dyDescent="0.25">
      <c r="A383" s="1">
        <f t="shared" si="34"/>
        <v>198.09894561767578</v>
      </c>
      <c r="B383" s="1">
        <f t="shared" si="35"/>
        <v>198098.94561767578</v>
      </c>
      <c r="C383" s="1">
        <f t="shared" si="36"/>
        <v>99840000</v>
      </c>
      <c r="D383" s="1">
        <v>28</v>
      </c>
      <c r="E383" s="1">
        <f t="shared" si="37"/>
        <v>532620</v>
      </c>
      <c r="F383" s="1">
        <f t="shared" si="38"/>
        <v>198</v>
      </c>
      <c r="L383" s="1">
        <v>2690</v>
      </c>
    </row>
    <row r="384" spans="1:12" x14ac:dyDescent="0.25">
      <c r="A384" s="1">
        <f t="shared" si="34"/>
        <v>199.09944534301758</v>
      </c>
      <c r="B384" s="1">
        <f t="shared" si="35"/>
        <v>199099.44534301758</v>
      </c>
      <c r="C384" s="1">
        <f t="shared" si="36"/>
        <v>99840000</v>
      </c>
      <c r="D384" s="1">
        <v>28</v>
      </c>
      <c r="E384" s="1">
        <f t="shared" si="37"/>
        <v>535310</v>
      </c>
      <c r="F384" s="1">
        <f t="shared" si="38"/>
        <v>199</v>
      </c>
      <c r="L384" s="1">
        <v>2690</v>
      </c>
    </row>
    <row r="385" spans="1:12" x14ac:dyDescent="0.25">
      <c r="A385" s="1">
        <f t="shared" si="34"/>
        <v>200.09994506835938</v>
      </c>
      <c r="B385" s="1">
        <f t="shared" si="35"/>
        <v>200099.94506835938</v>
      </c>
      <c r="C385" s="1">
        <f t="shared" si="36"/>
        <v>99840000</v>
      </c>
      <c r="D385" s="1">
        <v>28</v>
      </c>
      <c r="E385" s="1">
        <f t="shared" si="37"/>
        <v>538000</v>
      </c>
      <c r="F385" s="1">
        <f t="shared" si="38"/>
        <v>200</v>
      </c>
      <c r="L385" s="1">
        <v>2690</v>
      </c>
    </row>
    <row r="386" spans="1:12" x14ac:dyDescent="0.25">
      <c r="A386" s="1">
        <f t="shared" si="34"/>
        <v>201.10044479370117</v>
      </c>
      <c r="B386" s="1">
        <f t="shared" si="35"/>
        <v>201100.44479370117</v>
      </c>
      <c r="C386" s="1">
        <f t="shared" si="36"/>
        <v>99840000</v>
      </c>
      <c r="D386" s="1">
        <v>28</v>
      </c>
      <c r="E386" s="1">
        <f t="shared" si="37"/>
        <v>540690</v>
      </c>
      <c r="F386" s="1">
        <f t="shared" si="38"/>
        <v>201</v>
      </c>
      <c r="L386" s="1">
        <v>2690</v>
      </c>
    </row>
    <row r="387" spans="1:12" x14ac:dyDescent="0.25">
      <c r="A387" s="1">
        <f t="shared" si="34"/>
        <v>202.10094451904297</v>
      </c>
      <c r="B387" s="1">
        <f t="shared" si="35"/>
        <v>202100.94451904297</v>
      </c>
      <c r="C387" s="1">
        <f t="shared" si="36"/>
        <v>99840000</v>
      </c>
      <c r="D387" s="1">
        <v>28</v>
      </c>
      <c r="E387" s="1">
        <f t="shared" si="37"/>
        <v>543380</v>
      </c>
      <c r="F387" s="1">
        <f t="shared" si="38"/>
        <v>202</v>
      </c>
      <c r="L387" s="1">
        <v>2690</v>
      </c>
    </row>
    <row r="388" spans="1:12" x14ac:dyDescent="0.25">
      <c r="A388" s="1">
        <f t="shared" si="34"/>
        <v>203.10144424438477</v>
      </c>
      <c r="B388" s="1">
        <f t="shared" si="35"/>
        <v>203101.44424438477</v>
      </c>
      <c r="C388" s="1">
        <f t="shared" si="36"/>
        <v>99840000</v>
      </c>
      <c r="D388" s="1">
        <v>28</v>
      </c>
      <c r="E388" s="1">
        <f t="shared" si="37"/>
        <v>546070</v>
      </c>
      <c r="F388" s="1">
        <f t="shared" si="38"/>
        <v>203</v>
      </c>
      <c r="L388" s="1">
        <v>2690</v>
      </c>
    </row>
    <row r="389" spans="1:12" x14ac:dyDescent="0.25">
      <c r="A389" s="1">
        <f t="shared" si="34"/>
        <v>204.10194396972656</v>
      </c>
      <c r="B389" s="1">
        <f t="shared" si="35"/>
        <v>204101.94396972656</v>
      </c>
      <c r="C389" s="1">
        <f t="shared" si="36"/>
        <v>99840000</v>
      </c>
      <c r="D389" s="1">
        <v>28</v>
      </c>
      <c r="E389" s="1">
        <f t="shared" si="37"/>
        <v>548760</v>
      </c>
      <c r="F389" s="1">
        <f t="shared" si="38"/>
        <v>204</v>
      </c>
      <c r="L389" s="1">
        <v>2690</v>
      </c>
    </row>
    <row r="390" spans="1:12" x14ac:dyDescent="0.25">
      <c r="A390" s="1">
        <f t="shared" si="34"/>
        <v>205.10244369506836</v>
      </c>
      <c r="B390" s="1">
        <f t="shared" si="35"/>
        <v>205102.44369506836</v>
      </c>
      <c r="C390" s="1">
        <f t="shared" si="36"/>
        <v>99840000</v>
      </c>
      <c r="D390" s="1">
        <v>28</v>
      </c>
      <c r="E390" s="1">
        <f t="shared" si="37"/>
        <v>551450</v>
      </c>
      <c r="F390" s="1">
        <f t="shared" si="38"/>
        <v>205</v>
      </c>
      <c r="L390" s="1">
        <v>2690</v>
      </c>
    </row>
    <row r="391" spans="1:12" x14ac:dyDescent="0.25">
      <c r="A391" s="1">
        <f t="shared" si="34"/>
        <v>206.10294342041016</v>
      </c>
      <c r="B391" s="1">
        <f t="shared" si="35"/>
        <v>206102.94342041016</v>
      </c>
      <c r="C391" s="1">
        <f t="shared" si="36"/>
        <v>99840000</v>
      </c>
      <c r="D391" s="1">
        <v>28</v>
      </c>
      <c r="E391" s="1">
        <f t="shared" si="37"/>
        <v>554140</v>
      </c>
      <c r="F391" s="1">
        <f t="shared" si="38"/>
        <v>206</v>
      </c>
      <c r="L391" s="1">
        <v>2690</v>
      </c>
    </row>
    <row r="392" spans="1:12" x14ac:dyDescent="0.25">
      <c r="A392" s="1">
        <f t="shared" si="34"/>
        <v>207.10344314575195</v>
      </c>
      <c r="B392" s="1">
        <f t="shared" si="35"/>
        <v>207103.44314575195</v>
      </c>
      <c r="C392" s="1">
        <f t="shared" si="36"/>
        <v>99840000</v>
      </c>
      <c r="D392" s="1">
        <v>28</v>
      </c>
      <c r="E392" s="1">
        <f t="shared" si="37"/>
        <v>556830</v>
      </c>
      <c r="F392" s="1">
        <f t="shared" si="38"/>
        <v>207</v>
      </c>
      <c r="L392" s="1">
        <v>2690</v>
      </c>
    </row>
    <row r="393" spans="1:12" x14ac:dyDescent="0.25">
      <c r="A393" s="1">
        <f t="shared" si="34"/>
        <v>208.10394287109375</v>
      </c>
      <c r="B393" s="1">
        <f t="shared" si="35"/>
        <v>208103.94287109375</v>
      </c>
      <c r="C393" s="1">
        <f t="shared" si="36"/>
        <v>99840000</v>
      </c>
      <c r="D393" s="1">
        <v>28</v>
      </c>
      <c r="E393" s="1">
        <f t="shared" si="37"/>
        <v>559520</v>
      </c>
      <c r="F393" s="1">
        <f t="shared" si="38"/>
        <v>208</v>
      </c>
      <c r="L393" s="1">
        <v>2690</v>
      </c>
    </row>
    <row r="394" spans="1:12" x14ac:dyDescent="0.25">
      <c r="A394" s="1">
        <f t="shared" si="34"/>
        <v>209.10444259643555</v>
      </c>
      <c r="B394" s="1">
        <f t="shared" si="35"/>
        <v>209104.44259643555</v>
      </c>
      <c r="C394" s="1">
        <f t="shared" si="36"/>
        <v>99840000</v>
      </c>
      <c r="D394" s="1">
        <v>28</v>
      </c>
      <c r="E394" s="1">
        <f t="shared" si="37"/>
        <v>562210</v>
      </c>
      <c r="F394" s="1">
        <f t="shared" si="38"/>
        <v>209</v>
      </c>
      <c r="L394" s="1">
        <v>2690</v>
      </c>
    </row>
    <row r="395" spans="1:12" x14ac:dyDescent="0.25">
      <c r="A395" s="1">
        <f t="shared" si="34"/>
        <v>210.10494232177734</v>
      </c>
      <c r="B395" s="1">
        <f t="shared" si="35"/>
        <v>210104.94232177734</v>
      </c>
      <c r="C395" s="1">
        <f t="shared" si="36"/>
        <v>99840000</v>
      </c>
      <c r="D395" s="1">
        <v>28</v>
      </c>
      <c r="E395" s="1">
        <f t="shared" si="37"/>
        <v>564900</v>
      </c>
      <c r="F395" s="1">
        <f t="shared" si="38"/>
        <v>210</v>
      </c>
      <c r="L395" s="1">
        <v>2690</v>
      </c>
    </row>
    <row r="396" spans="1:12" x14ac:dyDescent="0.25">
      <c r="A396" s="1">
        <f t="shared" si="34"/>
        <v>211.10544204711914</v>
      </c>
      <c r="B396" s="1">
        <f t="shared" si="35"/>
        <v>211105.44204711914</v>
      </c>
      <c r="C396" s="1">
        <f t="shared" si="36"/>
        <v>99840000</v>
      </c>
      <c r="D396" s="1">
        <v>28</v>
      </c>
      <c r="E396" s="1">
        <f t="shared" si="37"/>
        <v>567590</v>
      </c>
      <c r="F396" s="1">
        <f t="shared" si="38"/>
        <v>211</v>
      </c>
      <c r="L396" s="1">
        <v>2690</v>
      </c>
    </row>
    <row r="397" spans="1:12" x14ac:dyDescent="0.25">
      <c r="A397" s="1">
        <f t="shared" si="34"/>
        <v>212.10594177246094</v>
      </c>
      <c r="B397" s="1">
        <f t="shared" si="35"/>
        <v>212105.94177246094</v>
      </c>
      <c r="C397" s="1">
        <f t="shared" si="36"/>
        <v>99840000</v>
      </c>
      <c r="D397" s="1">
        <v>28</v>
      </c>
      <c r="E397" s="1">
        <f t="shared" si="37"/>
        <v>570280</v>
      </c>
      <c r="F397" s="1">
        <f t="shared" si="38"/>
        <v>212</v>
      </c>
      <c r="L397" s="1">
        <v>2690</v>
      </c>
    </row>
    <row r="398" spans="1:12" x14ac:dyDescent="0.25">
      <c r="A398" s="1">
        <f t="shared" si="34"/>
        <v>213.10644149780273</v>
      </c>
      <c r="B398" s="1">
        <f t="shared" si="35"/>
        <v>213106.44149780273</v>
      </c>
      <c r="C398" s="1">
        <f t="shared" si="36"/>
        <v>99840000</v>
      </c>
      <c r="D398" s="1">
        <v>28</v>
      </c>
      <c r="E398" s="1">
        <f t="shared" si="37"/>
        <v>572970</v>
      </c>
      <c r="F398" s="1">
        <f t="shared" si="38"/>
        <v>213</v>
      </c>
      <c r="L398" s="1">
        <v>2690</v>
      </c>
    </row>
    <row r="399" spans="1:12" x14ac:dyDescent="0.25">
      <c r="A399" s="1">
        <f t="shared" si="34"/>
        <v>214.10694122314453</v>
      </c>
      <c r="B399" s="1">
        <f t="shared" si="35"/>
        <v>214106.94122314453</v>
      </c>
      <c r="C399" s="1">
        <f t="shared" si="36"/>
        <v>99840000</v>
      </c>
      <c r="D399" s="1">
        <v>28</v>
      </c>
      <c r="E399" s="1">
        <f t="shared" si="37"/>
        <v>575660</v>
      </c>
      <c r="F399" s="1">
        <f t="shared" si="38"/>
        <v>214</v>
      </c>
      <c r="L399" s="1">
        <v>2690</v>
      </c>
    </row>
    <row r="400" spans="1:12" x14ac:dyDescent="0.25">
      <c r="A400" s="1">
        <f t="shared" si="34"/>
        <v>215.10744094848633</v>
      </c>
      <c r="B400" s="1">
        <f t="shared" si="35"/>
        <v>215107.44094848633</v>
      </c>
      <c r="C400" s="1">
        <f t="shared" si="36"/>
        <v>99840000</v>
      </c>
      <c r="D400" s="1">
        <v>28</v>
      </c>
      <c r="E400" s="1">
        <f t="shared" si="37"/>
        <v>578350</v>
      </c>
      <c r="F400" s="1">
        <f t="shared" si="38"/>
        <v>215</v>
      </c>
      <c r="L400" s="1">
        <v>2690</v>
      </c>
    </row>
    <row r="401" spans="1:12" x14ac:dyDescent="0.25">
      <c r="A401" s="1">
        <f t="shared" si="34"/>
        <v>216.10794067382813</v>
      </c>
      <c r="B401" s="1">
        <f t="shared" si="35"/>
        <v>216107.94067382813</v>
      </c>
      <c r="C401" s="1">
        <f t="shared" si="36"/>
        <v>99840000</v>
      </c>
      <c r="D401" s="1">
        <v>28</v>
      </c>
      <c r="E401" s="1">
        <f t="shared" si="37"/>
        <v>581040</v>
      </c>
      <c r="F401" s="1">
        <f t="shared" si="38"/>
        <v>216</v>
      </c>
      <c r="L401" s="1">
        <v>2690</v>
      </c>
    </row>
    <row r="402" spans="1:12" x14ac:dyDescent="0.25">
      <c r="A402" s="1">
        <f t="shared" si="34"/>
        <v>217.10844039916992</v>
      </c>
      <c r="B402" s="1">
        <f t="shared" si="35"/>
        <v>217108.44039916992</v>
      </c>
      <c r="C402" s="1">
        <f t="shared" si="36"/>
        <v>99840000</v>
      </c>
      <c r="D402" s="1">
        <v>28</v>
      </c>
      <c r="E402" s="1">
        <f t="shared" si="37"/>
        <v>583730</v>
      </c>
      <c r="F402" s="1">
        <f t="shared" si="38"/>
        <v>217</v>
      </c>
      <c r="L402" s="1">
        <v>2690</v>
      </c>
    </row>
    <row r="403" spans="1:12" x14ac:dyDescent="0.25">
      <c r="A403" s="1">
        <f t="shared" si="34"/>
        <v>218.10894012451172</v>
      </c>
      <c r="B403" s="1">
        <f t="shared" si="35"/>
        <v>218108.94012451172</v>
      </c>
      <c r="C403" s="1">
        <f t="shared" si="36"/>
        <v>99840000</v>
      </c>
      <c r="D403" s="1">
        <v>28</v>
      </c>
      <c r="E403" s="1">
        <f t="shared" si="37"/>
        <v>586420</v>
      </c>
      <c r="F403" s="1">
        <f t="shared" si="38"/>
        <v>218</v>
      </c>
      <c r="L403" s="1">
        <v>2690</v>
      </c>
    </row>
    <row r="404" spans="1:12" x14ac:dyDescent="0.25">
      <c r="A404" s="1">
        <f t="shared" si="34"/>
        <v>219.10943984985352</v>
      </c>
      <c r="B404" s="1">
        <f t="shared" si="35"/>
        <v>219109.43984985352</v>
      </c>
      <c r="C404" s="1">
        <f t="shared" si="36"/>
        <v>99840000</v>
      </c>
      <c r="D404" s="1">
        <v>28</v>
      </c>
      <c r="E404" s="1">
        <f t="shared" si="37"/>
        <v>589110</v>
      </c>
      <c r="F404" s="1">
        <f t="shared" si="38"/>
        <v>219</v>
      </c>
      <c r="L404" s="1">
        <v>2690</v>
      </c>
    </row>
    <row r="405" spans="1:12" x14ac:dyDescent="0.25">
      <c r="A405" s="1">
        <f t="shared" si="34"/>
        <v>220.10993957519531</v>
      </c>
      <c r="B405" s="1">
        <f t="shared" si="35"/>
        <v>220109.93957519531</v>
      </c>
      <c r="C405" s="1">
        <f t="shared" si="36"/>
        <v>99840000</v>
      </c>
      <c r="D405" s="1">
        <v>28</v>
      </c>
      <c r="E405" s="1">
        <f t="shared" si="37"/>
        <v>591800</v>
      </c>
      <c r="F405" s="1">
        <f t="shared" si="38"/>
        <v>220</v>
      </c>
      <c r="L405" s="1">
        <v>2690</v>
      </c>
    </row>
    <row r="406" spans="1:12" x14ac:dyDescent="0.25">
      <c r="A406" s="1">
        <f t="shared" si="34"/>
        <v>221.11043930053711</v>
      </c>
      <c r="B406" s="1">
        <f t="shared" si="35"/>
        <v>221110.43930053711</v>
      </c>
      <c r="C406" s="1">
        <f t="shared" si="36"/>
        <v>99840000</v>
      </c>
      <c r="D406" s="1">
        <v>28</v>
      </c>
      <c r="E406" s="1">
        <f t="shared" si="37"/>
        <v>594490</v>
      </c>
      <c r="F406" s="1">
        <f t="shared" si="38"/>
        <v>221</v>
      </c>
      <c r="L406" s="1">
        <v>2690</v>
      </c>
    </row>
    <row r="407" spans="1:12" x14ac:dyDescent="0.25">
      <c r="A407" s="1">
        <f t="shared" si="34"/>
        <v>222.11093902587891</v>
      </c>
      <c r="B407" s="1">
        <f t="shared" si="35"/>
        <v>222110.93902587891</v>
      </c>
      <c r="C407" s="1">
        <f t="shared" si="36"/>
        <v>99840000</v>
      </c>
      <c r="D407" s="1">
        <v>28</v>
      </c>
      <c r="E407" s="1">
        <f t="shared" si="37"/>
        <v>597180</v>
      </c>
      <c r="F407" s="1">
        <f t="shared" si="38"/>
        <v>222</v>
      </c>
      <c r="L407" s="1">
        <v>2690</v>
      </c>
    </row>
    <row r="408" spans="1:12" x14ac:dyDescent="0.25">
      <c r="A408" s="1">
        <f t="shared" si="34"/>
        <v>223.1114387512207</v>
      </c>
      <c r="B408" s="1">
        <f t="shared" si="35"/>
        <v>223111.4387512207</v>
      </c>
      <c r="C408" s="1">
        <f t="shared" si="36"/>
        <v>99840000</v>
      </c>
      <c r="D408" s="1">
        <v>28</v>
      </c>
      <c r="E408" s="1">
        <f t="shared" si="37"/>
        <v>599870</v>
      </c>
      <c r="F408" s="1">
        <f t="shared" si="38"/>
        <v>223</v>
      </c>
      <c r="L408" s="1">
        <v>2690</v>
      </c>
    </row>
    <row r="409" spans="1:12" x14ac:dyDescent="0.25">
      <c r="A409" s="1">
        <f t="shared" si="34"/>
        <v>224.1119384765625</v>
      </c>
      <c r="B409" s="1">
        <f t="shared" si="35"/>
        <v>224111.9384765625</v>
      </c>
      <c r="C409" s="1">
        <f t="shared" si="36"/>
        <v>99840000</v>
      </c>
      <c r="D409" s="1">
        <v>28</v>
      </c>
      <c r="E409" s="1">
        <f t="shared" si="37"/>
        <v>602560</v>
      </c>
      <c r="F409" s="1">
        <f t="shared" si="38"/>
        <v>224</v>
      </c>
      <c r="L409" s="1">
        <v>2690</v>
      </c>
    </row>
    <row r="410" spans="1:12" x14ac:dyDescent="0.25">
      <c r="A410" s="1">
        <f t="shared" si="34"/>
        <v>225.1124382019043</v>
      </c>
      <c r="B410" s="1">
        <f t="shared" si="35"/>
        <v>225112.4382019043</v>
      </c>
      <c r="C410" s="1">
        <f t="shared" si="36"/>
        <v>99840000</v>
      </c>
      <c r="D410" s="1">
        <v>28</v>
      </c>
      <c r="E410" s="1">
        <f t="shared" si="37"/>
        <v>605250</v>
      </c>
      <c r="F410" s="1">
        <f t="shared" si="38"/>
        <v>225</v>
      </c>
      <c r="L410" s="1">
        <v>2690</v>
      </c>
    </row>
    <row r="411" spans="1:12" x14ac:dyDescent="0.25">
      <c r="A411" s="1">
        <f t="shared" si="34"/>
        <v>226.11293792724609</v>
      </c>
      <c r="B411" s="1">
        <f t="shared" si="35"/>
        <v>226112.93792724609</v>
      </c>
      <c r="C411" s="1">
        <f t="shared" si="36"/>
        <v>99840000</v>
      </c>
      <c r="D411" s="1">
        <v>28</v>
      </c>
      <c r="E411" s="1">
        <f t="shared" si="37"/>
        <v>607940</v>
      </c>
      <c r="F411" s="1">
        <f t="shared" si="38"/>
        <v>226</v>
      </c>
      <c r="L411" s="1">
        <v>2690</v>
      </c>
    </row>
    <row r="412" spans="1:12" x14ac:dyDescent="0.25">
      <c r="A412" s="1">
        <f t="shared" si="34"/>
        <v>227.11343765258789</v>
      </c>
      <c r="B412" s="1">
        <f t="shared" si="35"/>
        <v>227113.43765258789</v>
      </c>
      <c r="C412" s="1">
        <f t="shared" si="36"/>
        <v>99840000</v>
      </c>
      <c r="D412" s="1">
        <v>28</v>
      </c>
      <c r="E412" s="1">
        <f t="shared" si="37"/>
        <v>610630</v>
      </c>
      <c r="F412" s="1">
        <f t="shared" si="38"/>
        <v>227</v>
      </c>
      <c r="L412" s="1">
        <v>2690</v>
      </c>
    </row>
    <row r="413" spans="1:12" x14ac:dyDescent="0.25">
      <c r="A413" s="1">
        <f t="shared" si="34"/>
        <v>228.11393737792969</v>
      </c>
      <c r="B413" s="1">
        <f t="shared" si="35"/>
        <v>228113.93737792969</v>
      </c>
      <c r="C413" s="1">
        <f t="shared" si="36"/>
        <v>99840000</v>
      </c>
      <c r="D413" s="1">
        <v>28</v>
      </c>
      <c r="E413" s="1">
        <f t="shared" si="37"/>
        <v>613320</v>
      </c>
      <c r="F413" s="1">
        <f t="shared" si="38"/>
        <v>228</v>
      </c>
      <c r="L413" s="1">
        <v>2690</v>
      </c>
    </row>
    <row r="414" spans="1:12" x14ac:dyDescent="0.25">
      <c r="A414" s="1">
        <f t="shared" si="34"/>
        <v>229.11443710327148</v>
      </c>
      <c r="B414" s="1">
        <f t="shared" si="35"/>
        <v>229114.43710327148</v>
      </c>
      <c r="C414" s="1">
        <f t="shared" si="36"/>
        <v>99840000</v>
      </c>
      <c r="D414" s="1">
        <v>28</v>
      </c>
      <c r="E414" s="1">
        <f t="shared" si="37"/>
        <v>616010</v>
      </c>
      <c r="F414" s="1">
        <f t="shared" si="38"/>
        <v>229</v>
      </c>
      <c r="L414" s="1">
        <v>2690</v>
      </c>
    </row>
    <row r="415" spans="1:12" x14ac:dyDescent="0.25">
      <c r="A415" s="1">
        <f t="shared" si="34"/>
        <v>230.11493682861328</v>
      </c>
      <c r="B415" s="1">
        <f t="shared" si="35"/>
        <v>230114.93682861328</v>
      </c>
      <c r="C415" s="1">
        <f t="shared" si="36"/>
        <v>99840000</v>
      </c>
      <c r="D415" s="1">
        <v>28</v>
      </c>
      <c r="E415" s="1">
        <f t="shared" si="37"/>
        <v>618700</v>
      </c>
      <c r="F415" s="1">
        <f t="shared" si="38"/>
        <v>230</v>
      </c>
      <c r="L415" s="1">
        <v>2690</v>
      </c>
    </row>
    <row r="416" spans="1:12" x14ac:dyDescent="0.25">
      <c r="A416" s="1">
        <f t="shared" si="34"/>
        <v>231.11543655395508</v>
      </c>
      <c r="B416" s="1">
        <f t="shared" si="35"/>
        <v>231115.43655395508</v>
      </c>
      <c r="C416" s="1">
        <f t="shared" si="36"/>
        <v>99840000</v>
      </c>
      <c r="D416" s="1">
        <v>28</v>
      </c>
      <c r="E416" s="1">
        <f t="shared" si="37"/>
        <v>621390</v>
      </c>
      <c r="F416" s="1">
        <f t="shared" si="38"/>
        <v>231</v>
      </c>
      <c r="L416" s="1">
        <v>2690</v>
      </c>
    </row>
    <row r="417" spans="1:12" x14ac:dyDescent="0.25">
      <c r="A417" s="1">
        <f t="shared" si="34"/>
        <v>232.11593627929688</v>
      </c>
      <c r="B417" s="1">
        <f t="shared" si="35"/>
        <v>232115.93627929688</v>
      </c>
      <c r="C417" s="1">
        <f t="shared" si="36"/>
        <v>99840000</v>
      </c>
      <c r="D417" s="1">
        <v>28</v>
      </c>
      <c r="E417" s="1">
        <f t="shared" si="37"/>
        <v>624080</v>
      </c>
      <c r="F417" s="1">
        <f t="shared" si="38"/>
        <v>232</v>
      </c>
      <c r="L417" s="1">
        <v>2690</v>
      </c>
    </row>
    <row r="418" spans="1:12" x14ac:dyDescent="0.25">
      <c r="A418" s="1">
        <f t="shared" si="34"/>
        <v>233.11643600463867</v>
      </c>
      <c r="B418" s="1">
        <f t="shared" si="35"/>
        <v>233116.43600463867</v>
      </c>
      <c r="C418" s="1">
        <f t="shared" si="36"/>
        <v>99840000</v>
      </c>
      <c r="D418" s="1">
        <v>28</v>
      </c>
      <c r="E418" s="1">
        <f t="shared" si="37"/>
        <v>626770</v>
      </c>
      <c r="F418" s="1">
        <f t="shared" si="38"/>
        <v>233</v>
      </c>
      <c r="L418" s="1">
        <v>2690</v>
      </c>
    </row>
    <row r="419" spans="1:12" x14ac:dyDescent="0.25">
      <c r="A419" s="1">
        <f t="shared" si="34"/>
        <v>234.11693572998047</v>
      </c>
      <c r="B419" s="1">
        <f t="shared" si="35"/>
        <v>234116.93572998047</v>
      </c>
      <c r="C419" s="1">
        <f t="shared" si="36"/>
        <v>99840000</v>
      </c>
      <c r="D419" s="1">
        <v>28</v>
      </c>
      <c r="E419" s="1">
        <f t="shared" si="37"/>
        <v>629460</v>
      </c>
      <c r="F419" s="1">
        <f t="shared" si="38"/>
        <v>234</v>
      </c>
      <c r="L419" s="1">
        <v>2690</v>
      </c>
    </row>
    <row r="420" spans="1:12" x14ac:dyDescent="0.25">
      <c r="A420" s="1">
        <f t="shared" si="34"/>
        <v>235.11743545532227</v>
      </c>
      <c r="B420" s="1">
        <f t="shared" si="35"/>
        <v>235117.43545532227</v>
      </c>
      <c r="C420" s="1">
        <f t="shared" si="36"/>
        <v>99840000</v>
      </c>
      <c r="D420" s="1">
        <v>28</v>
      </c>
      <c r="E420" s="1">
        <f t="shared" si="37"/>
        <v>632150</v>
      </c>
      <c r="F420" s="1">
        <f t="shared" si="38"/>
        <v>235</v>
      </c>
      <c r="L420" s="1">
        <v>2690</v>
      </c>
    </row>
    <row r="421" spans="1:12" x14ac:dyDescent="0.25">
      <c r="A421" s="1">
        <f t="shared" si="34"/>
        <v>236.11793518066406</v>
      </c>
      <c r="B421" s="1">
        <f t="shared" si="35"/>
        <v>236117.93518066406</v>
      </c>
      <c r="C421" s="1">
        <f t="shared" si="36"/>
        <v>99840000</v>
      </c>
      <c r="D421" s="1">
        <v>28</v>
      </c>
      <c r="E421" s="1">
        <f t="shared" si="37"/>
        <v>634840</v>
      </c>
      <c r="F421" s="1">
        <f t="shared" si="38"/>
        <v>236</v>
      </c>
      <c r="L421" s="1">
        <v>2690</v>
      </c>
    </row>
    <row r="422" spans="1:12" x14ac:dyDescent="0.25">
      <c r="A422" s="1">
        <f t="shared" si="34"/>
        <v>237.11843490600586</v>
      </c>
      <c r="B422" s="1">
        <f t="shared" si="35"/>
        <v>237118.43490600586</v>
      </c>
      <c r="C422" s="1">
        <f t="shared" si="36"/>
        <v>99840000</v>
      </c>
      <c r="D422" s="1">
        <v>28</v>
      </c>
      <c r="E422" s="1">
        <f t="shared" si="37"/>
        <v>637530</v>
      </c>
      <c r="F422" s="1">
        <f t="shared" si="38"/>
        <v>237</v>
      </c>
      <c r="L422" s="1">
        <v>2690</v>
      </c>
    </row>
    <row r="423" spans="1:12" x14ac:dyDescent="0.25">
      <c r="A423" s="1">
        <f t="shared" si="34"/>
        <v>238.11893463134766</v>
      </c>
      <c r="B423" s="1">
        <f t="shared" si="35"/>
        <v>238118.93463134766</v>
      </c>
      <c r="C423" s="1">
        <f t="shared" si="36"/>
        <v>99840000</v>
      </c>
      <c r="D423" s="1">
        <v>28</v>
      </c>
      <c r="E423" s="1">
        <f t="shared" si="37"/>
        <v>640220</v>
      </c>
      <c r="F423" s="1">
        <f t="shared" si="38"/>
        <v>238</v>
      </c>
      <c r="L423" s="1">
        <v>2690</v>
      </c>
    </row>
    <row r="424" spans="1:12" x14ac:dyDescent="0.25">
      <c r="A424" s="1">
        <f t="shared" si="34"/>
        <v>239.11943435668945</v>
      </c>
      <c r="B424" s="1">
        <f t="shared" si="35"/>
        <v>239119.43435668945</v>
      </c>
      <c r="C424" s="1">
        <f t="shared" si="36"/>
        <v>99840000</v>
      </c>
      <c r="D424" s="1">
        <v>28</v>
      </c>
      <c r="E424" s="1">
        <f t="shared" si="37"/>
        <v>642910</v>
      </c>
      <c r="F424" s="1">
        <f t="shared" si="38"/>
        <v>239</v>
      </c>
      <c r="L424" s="1">
        <v>2690</v>
      </c>
    </row>
    <row r="425" spans="1:12" x14ac:dyDescent="0.25">
      <c r="A425" s="1">
        <f t="shared" si="34"/>
        <v>240.11993408203125</v>
      </c>
      <c r="B425" s="1">
        <f t="shared" si="35"/>
        <v>240119.93408203125</v>
      </c>
      <c r="C425" s="1">
        <f t="shared" si="36"/>
        <v>99840000</v>
      </c>
      <c r="D425" s="1">
        <v>28</v>
      </c>
      <c r="E425" s="1">
        <f t="shared" si="37"/>
        <v>645600</v>
      </c>
      <c r="F425" s="1">
        <f t="shared" si="38"/>
        <v>240</v>
      </c>
      <c r="L425" s="1">
        <v>2690</v>
      </c>
    </row>
    <row r="426" spans="1:12" x14ac:dyDescent="0.25">
      <c r="A426" s="1">
        <f t="shared" si="34"/>
        <v>241.12043380737305</v>
      </c>
      <c r="B426" s="1">
        <f t="shared" si="35"/>
        <v>241120.43380737305</v>
      </c>
      <c r="C426" s="1">
        <f t="shared" si="36"/>
        <v>99840000</v>
      </c>
      <c r="D426" s="1">
        <v>28</v>
      </c>
      <c r="E426" s="1">
        <f t="shared" si="37"/>
        <v>648290</v>
      </c>
      <c r="F426" s="1">
        <f t="shared" si="38"/>
        <v>241</v>
      </c>
      <c r="L426" s="1">
        <v>2690</v>
      </c>
    </row>
    <row r="427" spans="1:12" x14ac:dyDescent="0.25">
      <c r="A427" s="1">
        <f t="shared" si="34"/>
        <v>242.12093353271484</v>
      </c>
      <c r="B427" s="1">
        <f t="shared" si="35"/>
        <v>242120.93353271484</v>
      </c>
      <c r="C427" s="1">
        <f t="shared" si="36"/>
        <v>99840000</v>
      </c>
      <c r="D427" s="1">
        <v>28</v>
      </c>
      <c r="E427" s="1">
        <f t="shared" si="37"/>
        <v>650980</v>
      </c>
      <c r="F427" s="1">
        <f t="shared" si="38"/>
        <v>242</v>
      </c>
      <c r="L427" s="1">
        <v>2690</v>
      </c>
    </row>
    <row r="428" spans="1:12" x14ac:dyDescent="0.25">
      <c r="A428" s="1">
        <f t="shared" si="34"/>
        <v>243.12143325805664</v>
      </c>
      <c r="B428" s="1">
        <f t="shared" si="35"/>
        <v>243121.43325805664</v>
      </c>
      <c r="C428" s="1">
        <f t="shared" si="36"/>
        <v>99840000</v>
      </c>
      <c r="D428" s="1">
        <v>28</v>
      </c>
      <c r="E428" s="1">
        <f t="shared" si="37"/>
        <v>653670</v>
      </c>
      <c r="F428" s="1">
        <f t="shared" si="38"/>
        <v>243</v>
      </c>
      <c r="L428" s="1">
        <v>2690</v>
      </c>
    </row>
    <row r="429" spans="1:12" x14ac:dyDescent="0.25">
      <c r="A429" s="1">
        <f t="shared" si="34"/>
        <v>244.12193298339844</v>
      </c>
      <c r="B429" s="1">
        <f t="shared" si="35"/>
        <v>244121.93298339844</v>
      </c>
      <c r="C429" s="1">
        <f t="shared" si="36"/>
        <v>99840000</v>
      </c>
      <c r="D429" s="1">
        <v>28</v>
      </c>
      <c r="E429" s="1">
        <f t="shared" si="37"/>
        <v>656360</v>
      </c>
      <c r="F429" s="1">
        <f t="shared" si="38"/>
        <v>244</v>
      </c>
      <c r="L429" s="1">
        <v>2690</v>
      </c>
    </row>
    <row r="430" spans="1:12" x14ac:dyDescent="0.25">
      <c r="A430" s="1">
        <f t="shared" si="34"/>
        <v>245.12243270874023</v>
      </c>
      <c r="B430" s="1">
        <f t="shared" si="35"/>
        <v>245122.43270874023</v>
      </c>
      <c r="C430" s="1">
        <f t="shared" si="36"/>
        <v>99840000</v>
      </c>
      <c r="D430" s="1">
        <v>28</v>
      </c>
      <c r="E430" s="1">
        <f t="shared" si="37"/>
        <v>659050</v>
      </c>
      <c r="F430" s="1">
        <f t="shared" si="38"/>
        <v>245</v>
      </c>
      <c r="L430" s="1">
        <v>2690</v>
      </c>
    </row>
    <row r="431" spans="1:12" x14ac:dyDescent="0.25">
      <c r="A431" s="1">
        <f t="shared" si="34"/>
        <v>246.12293243408203</v>
      </c>
      <c r="B431" s="1">
        <f t="shared" si="35"/>
        <v>246122.93243408203</v>
      </c>
      <c r="C431" s="1">
        <f t="shared" si="36"/>
        <v>99840000</v>
      </c>
      <c r="D431" s="1">
        <v>28</v>
      </c>
      <c r="E431" s="1">
        <f t="shared" si="37"/>
        <v>661740</v>
      </c>
      <c r="F431" s="1">
        <f t="shared" si="38"/>
        <v>246</v>
      </c>
      <c r="L431" s="1">
        <v>2690</v>
      </c>
    </row>
    <row r="432" spans="1:12" x14ac:dyDescent="0.25">
      <c r="A432" s="1">
        <f t="shared" si="34"/>
        <v>247.12343215942383</v>
      </c>
      <c r="B432" s="1">
        <f t="shared" si="35"/>
        <v>247123.43215942383</v>
      </c>
      <c r="C432" s="1">
        <f t="shared" si="36"/>
        <v>99840000</v>
      </c>
      <c r="D432" s="1">
        <v>28</v>
      </c>
      <c r="E432" s="1">
        <f t="shared" si="37"/>
        <v>664430</v>
      </c>
      <c r="F432" s="1">
        <f t="shared" si="38"/>
        <v>247</v>
      </c>
      <c r="L432" s="1">
        <v>2690</v>
      </c>
    </row>
    <row r="433" spans="1:12" x14ac:dyDescent="0.25">
      <c r="A433" s="1">
        <f t="shared" si="34"/>
        <v>248.12393188476563</v>
      </c>
      <c r="B433" s="1">
        <f t="shared" si="35"/>
        <v>248123.93188476563</v>
      </c>
      <c r="C433" s="1">
        <f t="shared" si="36"/>
        <v>99840000</v>
      </c>
      <c r="D433" s="1">
        <v>28</v>
      </c>
      <c r="E433" s="1">
        <f t="shared" si="37"/>
        <v>667120</v>
      </c>
      <c r="F433" s="1">
        <f t="shared" si="38"/>
        <v>248</v>
      </c>
      <c r="L433" s="1">
        <v>2690</v>
      </c>
    </row>
    <row r="434" spans="1:12" x14ac:dyDescent="0.25">
      <c r="A434" s="1">
        <f t="shared" si="34"/>
        <v>249.12443161010742</v>
      </c>
      <c r="B434" s="1">
        <f t="shared" si="35"/>
        <v>249124.43161010742</v>
      </c>
      <c r="C434" s="1">
        <f t="shared" si="36"/>
        <v>99840000</v>
      </c>
      <c r="D434" s="1">
        <v>28</v>
      </c>
      <c r="E434" s="1">
        <f t="shared" si="37"/>
        <v>669810</v>
      </c>
      <c r="F434" s="1">
        <f t="shared" si="38"/>
        <v>249</v>
      </c>
      <c r="L434" s="1">
        <v>2690</v>
      </c>
    </row>
    <row r="435" spans="1:12" x14ac:dyDescent="0.25">
      <c r="A435" s="1">
        <f t="shared" si="34"/>
        <v>250.12493133544922</v>
      </c>
      <c r="B435" s="1">
        <f t="shared" si="35"/>
        <v>250124.93133544922</v>
      </c>
      <c r="C435" s="1">
        <f t="shared" si="36"/>
        <v>99840000</v>
      </c>
      <c r="D435" s="1">
        <v>28</v>
      </c>
      <c r="E435" s="1">
        <f t="shared" si="37"/>
        <v>672500</v>
      </c>
      <c r="F435" s="1">
        <f t="shared" si="38"/>
        <v>250</v>
      </c>
      <c r="L435" s="1">
        <v>2690</v>
      </c>
    </row>
    <row r="436" spans="1:12" x14ac:dyDescent="0.25">
      <c r="A436" s="1">
        <f t="shared" si="34"/>
        <v>251.12543106079102</v>
      </c>
      <c r="B436" s="1">
        <f t="shared" si="35"/>
        <v>251125.43106079102</v>
      </c>
      <c r="C436" s="1">
        <f t="shared" si="36"/>
        <v>99840000</v>
      </c>
      <c r="D436" s="1">
        <v>28</v>
      </c>
      <c r="E436" s="1">
        <f t="shared" si="37"/>
        <v>675190</v>
      </c>
      <c r="F436" s="1">
        <f t="shared" si="38"/>
        <v>251</v>
      </c>
      <c r="L436" s="1">
        <v>2690</v>
      </c>
    </row>
    <row r="437" spans="1:12" x14ac:dyDescent="0.25">
      <c r="A437" s="1">
        <f t="shared" si="34"/>
        <v>252.12593078613281</v>
      </c>
      <c r="B437" s="1">
        <f t="shared" si="35"/>
        <v>252125.93078613281</v>
      </c>
      <c r="C437" s="1">
        <f t="shared" si="36"/>
        <v>99840000</v>
      </c>
      <c r="D437" s="1">
        <v>28</v>
      </c>
      <c r="E437" s="1">
        <f t="shared" si="37"/>
        <v>677880</v>
      </c>
      <c r="F437" s="1">
        <f t="shared" si="38"/>
        <v>252</v>
      </c>
      <c r="L437" s="1">
        <v>2690</v>
      </c>
    </row>
    <row r="438" spans="1:12" x14ac:dyDescent="0.25">
      <c r="A438" s="1">
        <f t="shared" si="34"/>
        <v>253.12643051147461</v>
      </c>
      <c r="B438" s="1">
        <f t="shared" si="35"/>
        <v>253126.43051147461</v>
      </c>
      <c r="C438" s="1">
        <f t="shared" si="36"/>
        <v>99840000</v>
      </c>
      <c r="D438" s="1">
        <v>28</v>
      </c>
      <c r="E438" s="1">
        <f t="shared" si="37"/>
        <v>680570</v>
      </c>
      <c r="F438" s="1">
        <f t="shared" si="38"/>
        <v>253</v>
      </c>
      <c r="L438" s="1">
        <v>2690</v>
      </c>
    </row>
    <row r="439" spans="1:12" x14ac:dyDescent="0.25">
      <c r="A439" s="1">
        <f t="shared" si="34"/>
        <v>254.12693023681641</v>
      </c>
      <c r="B439" s="1">
        <f t="shared" si="35"/>
        <v>254126.93023681641</v>
      </c>
      <c r="C439" s="1">
        <f t="shared" si="36"/>
        <v>99840000</v>
      </c>
      <c r="D439" s="1">
        <v>28</v>
      </c>
      <c r="E439" s="1">
        <f t="shared" si="37"/>
        <v>683260</v>
      </c>
      <c r="F439" s="1">
        <f t="shared" si="38"/>
        <v>254</v>
      </c>
      <c r="L439" s="1">
        <v>2690</v>
      </c>
    </row>
    <row r="440" spans="1:12" x14ac:dyDescent="0.25">
      <c r="A440" s="1">
        <f t="shared" si="34"/>
        <v>255.1274299621582</v>
      </c>
      <c r="B440" s="1">
        <f t="shared" si="35"/>
        <v>255127.4299621582</v>
      </c>
      <c r="C440" s="1">
        <f t="shared" si="36"/>
        <v>99840000</v>
      </c>
      <c r="D440" s="1">
        <v>28</v>
      </c>
      <c r="E440" s="1">
        <f t="shared" si="37"/>
        <v>685950</v>
      </c>
      <c r="F440" s="1">
        <f t="shared" si="38"/>
        <v>255</v>
      </c>
      <c r="L440" s="1">
        <v>2690</v>
      </c>
    </row>
    <row r="441" spans="1:12" x14ac:dyDescent="0.25">
      <c r="A441" s="1">
        <f t="shared" si="34"/>
        <v>256.1279296875</v>
      </c>
      <c r="B441" s="1">
        <f t="shared" si="35"/>
        <v>256127.9296875</v>
      </c>
      <c r="C441" s="1">
        <f t="shared" si="36"/>
        <v>99840000</v>
      </c>
      <c r="D441" s="1">
        <v>28</v>
      </c>
      <c r="E441" s="1">
        <f t="shared" si="37"/>
        <v>688640</v>
      </c>
      <c r="F441" s="1">
        <f t="shared" si="38"/>
        <v>256</v>
      </c>
      <c r="L441" s="1">
        <v>2690</v>
      </c>
    </row>
    <row r="442" spans="1:12" x14ac:dyDescent="0.25">
      <c r="A442" s="1">
        <f t="shared" si="34"/>
        <v>257.1284294128418</v>
      </c>
      <c r="B442" s="1">
        <f t="shared" si="35"/>
        <v>257128.4294128418</v>
      </c>
      <c r="C442" s="1">
        <f t="shared" si="36"/>
        <v>99840000</v>
      </c>
      <c r="D442" s="1">
        <v>28</v>
      </c>
      <c r="E442" s="1">
        <f t="shared" si="37"/>
        <v>691330</v>
      </c>
      <c r="F442" s="1">
        <f t="shared" si="38"/>
        <v>257</v>
      </c>
      <c r="L442" s="1">
        <v>2690</v>
      </c>
    </row>
    <row r="443" spans="1:12" x14ac:dyDescent="0.25">
      <c r="A443" s="1">
        <f t="shared" ref="A443:A506" si="39">B443/10^3</f>
        <v>258.12892913818359</v>
      </c>
      <c r="B443" s="1">
        <f t="shared" ref="B443:B506" si="40">(E443/2^D443)*C443</f>
        <v>258128.92913818359</v>
      </c>
      <c r="C443" s="1">
        <f t="shared" ref="C443:C506" si="41">99.84*10^6</f>
        <v>99840000</v>
      </c>
      <c r="D443" s="1">
        <v>28</v>
      </c>
      <c r="E443" s="1">
        <f t="shared" ref="E443:E506" si="42">L443*F443</f>
        <v>694020</v>
      </c>
      <c r="F443" s="1">
        <f t="shared" si="38"/>
        <v>258</v>
      </c>
      <c r="L443" s="1">
        <v>2690</v>
      </c>
    </row>
    <row r="444" spans="1:12" x14ac:dyDescent="0.25">
      <c r="A444" s="1">
        <f t="shared" si="39"/>
        <v>259.12942886352539</v>
      </c>
      <c r="B444" s="1">
        <f t="shared" si="40"/>
        <v>259129.42886352539</v>
      </c>
      <c r="C444" s="1">
        <f t="shared" si="41"/>
        <v>99840000</v>
      </c>
      <c r="D444" s="1">
        <v>28</v>
      </c>
      <c r="E444" s="1">
        <f t="shared" si="42"/>
        <v>696710</v>
      </c>
      <c r="F444" s="1">
        <f t="shared" ref="F444:F507" si="43">F443+1</f>
        <v>259</v>
      </c>
      <c r="L444" s="1">
        <v>2690</v>
      </c>
    </row>
    <row r="445" spans="1:12" x14ac:dyDescent="0.25">
      <c r="A445" s="1">
        <f t="shared" si="39"/>
        <v>260.12992858886719</v>
      </c>
      <c r="B445" s="1">
        <f t="shared" si="40"/>
        <v>260129.92858886719</v>
      </c>
      <c r="C445" s="1">
        <f t="shared" si="41"/>
        <v>99840000</v>
      </c>
      <c r="D445" s="1">
        <v>28</v>
      </c>
      <c r="E445" s="1">
        <f t="shared" si="42"/>
        <v>699400</v>
      </c>
      <c r="F445" s="1">
        <f t="shared" si="43"/>
        <v>260</v>
      </c>
      <c r="L445" s="1">
        <v>2690</v>
      </c>
    </row>
    <row r="446" spans="1:12" x14ac:dyDescent="0.25">
      <c r="A446" s="1">
        <f t="shared" si="39"/>
        <v>261.13042831420898</v>
      </c>
      <c r="B446" s="1">
        <f t="shared" si="40"/>
        <v>261130.42831420898</v>
      </c>
      <c r="C446" s="1">
        <f t="shared" si="41"/>
        <v>99840000</v>
      </c>
      <c r="D446" s="1">
        <v>28</v>
      </c>
      <c r="E446" s="1">
        <f t="shared" si="42"/>
        <v>702090</v>
      </c>
      <c r="F446" s="1">
        <f t="shared" si="43"/>
        <v>261</v>
      </c>
      <c r="L446" s="1">
        <v>2690</v>
      </c>
    </row>
    <row r="447" spans="1:12" x14ac:dyDescent="0.25">
      <c r="A447" s="1">
        <f t="shared" si="39"/>
        <v>262.13092803955078</v>
      </c>
      <c r="B447" s="1">
        <f t="shared" si="40"/>
        <v>262130.92803955078</v>
      </c>
      <c r="C447" s="1">
        <f t="shared" si="41"/>
        <v>99840000</v>
      </c>
      <c r="D447" s="1">
        <v>28</v>
      </c>
      <c r="E447" s="1">
        <f t="shared" si="42"/>
        <v>704780</v>
      </c>
      <c r="F447" s="1">
        <f t="shared" si="43"/>
        <v>262</v>
      </c>
      <c r="L447" s="1">
        <v>2690</v>
      </c>
    </row>
    <row r="448" spans="1:12" x14ac:dyDescent="0.25">
      <c r="A448" s="1">
        <f t="shared" si="39"/>
        <v>263.13142776489258</v>
      </c>
      <c r="B448" s="1">
        <f t="shared" si="40"/>
        <v>263131.42776489258</v>
      </c>
      <c r="C448" s="1">
        <f t="shared" si="41"/>
        <v>99840000</v>
      </c>
      <c r="D448" s="1">
        <v>28</v>
      </c>
      <c r="E448" s="1">
        <f t="shared" si="42"/>
        <v>707470</v>
      </c>
      <c r="F448" s="1">
        <f t="shared" si="43"/>
        <v>263</v>
      </c>
      <c r="L448" s="1">
        <v>2690</v>
      </c>
    </row>
    <row r="449" spans="1:12" x14ac:dyDescent="0.25">
      <c r="A449" s="1">
        <f t="shared" si="39"/>
        <v>264.13192749023438</v>
      </c>
      <c r="B449" s="1">
        <f t="shared" si="40"/>
        <v>264131.92749023438</v>
      </c>
      <c r="C449" s="1">
        <f t="shared" si="41"/>
        <v>99840000</v>
      </c>
      <c r="D449" s="1">
        <v>28</v>
      </c>
      <c r="E449" s="1">
        <f t="shared" si="42"/>
        <v>710160</v>
      </c>
      <c r="F449" s="1">
        <f t="shared" si="43"/>
        <v>264</v>
      </c>
      <c r="L449" s="1">
        <v>2690</v>
      </c>
    </row>
    <row r="450" spans="1:12" x14ac:dyDescent="0.25">
      <c r="A450" s="1">
        <f t="shared" si="39"/>
        <v>265.13242721557617</v>
      </c>
      <c r="B450" s="1">
        <f t="shared" si="40"/>
        <v>265132.42721557617</v>
      </c>
      <c r="C450" s="1">
        <f t="shared" si="41"/>
        <v>99840000</v>
      </c>
      <c r="D450" s="1">
        <v>28</v>
      </c>
      <c r="E450" s="1">
        <f t="shared" si="42"/>
        <v>712850</v>
      </c>
      <c r="F450" s="1">
        <f t="shared" si="43"/>
        <v>265</v>
      </c>
      <c r="L450" s="1">
        <v>2690</v>
      </c>
    </row>
    <row r="451" spans="1:12" x14ac:dyDescent="0.25">
      <c r="A451" s="1">
        <f t="shared" si="39"/>
        <v>266.13292694091797</v>
      </c>
      <c r="B451" s="1">
        <f t="shared" si="40"/>
        <v>266132.92694091797</v>
      </c>
      <c r="C451" s="1">
        <f t="shared" si="41"/>
        <v>99840000</v>
      </c>
      <c r="D451" s="1">
        <v>28</v>
      </c>
      <c r="E451" s="1">
        <f t="shared" si="42"/>
        <v>715540</v>
      </c>
      <c r="F451" s="1">
        <f t="shared" si="43"/>
        <v>266</v>
      </c>
      <c r="L451" s="1">
        <v>2690</v>
      </c>
    </row>
    <row r="452" spans="1:12" x14ac:dyDescent="0.25">
      <c r="A452" s="1">
        <f t="shared" si="39"/>
        <v>267.13342666625977</v>
      </c>
      <c r="B452" s="1">
        <f t="shared" si="40"/>
        <v>267133.42666625977</v>
      </c>
      <c r="C452" s="1">
        <f t="shared" si="41"/>
        <v>99840000</v>
      </c>
      <c r="D452" s="1">
        <v>28</v>
      </c>
      <c r="E452" s="1">
        <f t="shared" si="42"/>
        <v>718230</v>
      </c>
      <c r="F452" s="1">
        <f t="shared" si="43"/>
        <v>267</v>
      </c>
      <c r="L452" s="1">
        <v>2690</v>
      </c>
    </row>
    <row r="453" spans="1:12" x14ac:dyDescent="0.25">
      <c r="A453" s="1">
        <f t="shared" si="39"/>
        <v>268.13392639160156</v>
      </c>
      <c r="B453" s="1">
        <f t="shared" si="40"/>
        <v>268133.92639160156</v>
      </c>
      <c r="C453" s="1">
        <f t="shared" si="41"/>
        <v>99840000</v>
      </c>
      <c r="D453" s="1">
        <v>28</v>
      </c>
      <c r="E453" s="1">
        <f t="shared" si="42"/>
        <v>720920</v>
      </c>
      <c r="F453" s="1">
        <f t="shared" si="43"/>
        <v>268</v>
      </c>
      <c r="L453" s="1">
        <v>2690</v>
      </c>
    </row>
    <row r="454" spans="1:12" x14ac:dyDescent="0.25">
      <c r="A454" s="1">
        <f t="shared" si="39"/>
        <v>269.13442611694336</v>
      </c>
      <c r="B454" s="1">
        <f t="shared" si="40"/>
        <v>269134.42611694336</v>
      </c>
      <c r="C454" s="1">
        <f t="shared" si="41"/>
        <v>99840000</v>
      </c>
      <c r="D454" s="1">
        <v>28</v>
      </c>
      <c r="E454" s="1">
        <f t="shared" si="42"/>
        <v>723610</v>
      </c>
      <c r="F454" s="1">
        <f t="shared" si="43"/>
        <v>269</v>
      </c>
      <c r="L454" s="1">
        <v>2690</v>
      </c>
    </row>
    <row r="455" spans="1:12" x14ac:dyDescent="0.25">
      <c r="A455" s="1">
        <f t="shared" si="39"/>
        <v>270.13492584228516</v>
      </c>
      <c r="B455" s="1">
        <f t="shared" si="40"/>
        <v>270134.92584228516</v>
      </c>
      <c r="C455" s="1">
        <f t="shared" si="41"/>
        <v>99840000</v>
      </c>
      <c r="D455" s="1">
        <v>28</v>
      </c>
      <c r="E455" s="1">
        <f t="shared" si="42"/>
        <v>726300</v>
      </c>
      <c r="F455" s="1">
        <f t="shared" si="43"/>
        <v>270</v>
      </c>
      <c r="L455" s="1">
        <v>2690</v>
      </c>
    </row>
    <row r="456" spans="1:12" x14ac:dyDescent="0.25">
      <c r="A456" s="1">
        <f t="shared" si="39"/>
        <v>271.13542556762695</v>
      </c>
      <c r="B456" s="1">
        <f t="shared" si="40"/>
        <v>271135.42556762695</v>
      </c>
      <c r="C456" s="1">
        <f t="shared" si="41"/>
        <v>99840000</v>
      </c>
      <c r="D456" s="1">
        <v>28</v>
      </c>
      <c r="E456" s="1">
        <f t="shared" si="42"/>
        <v>728990</v>
      </c>
      <c r="F456" s="1">
        <f t="shared" si="43"/>
        <v>271</v>
      </c>
      <c r="L456" s="1">
        <v>2690</v>
      </c>
    </row>
    <row r="457" spans="1:12" x14ac:dyDescent="0.25">
      <c r="A457" s="1">
        <f t="shared" si="39"/>
        <v>272.13592529296875</v>
      </c>
      <c r="B457" s="1">
        <f t="shared" si="40"/>
        <v>272135.92529296875</v>
      </c>
      <c r="C457" s="1">
        <f t="shared" si="41"/>
        <v>99840000</v>
      </c>
      <c r="D457" s="1">
        <v>28</v>
      </c>
      <c r="E457" s="1">
        <f t="shared" si="42"/>
        <v>731680</v>
      </c>
      <c r="F457" s="1">
        <f t="shared" si="43"/>
        <v>272</v>
      </c>
      <c r="L457" s="1">
        <v>2690</v>
      </c>
    </row>
    <row r="458" spans="1:12" x14ac:dyDescent="0.25">
      <c r="A458" s="1">
        <f t="shared" si="39"/>
        <v>273.13642501831055</v>
      </c>
      <c r="B458" s="1">
        <f t="shared" si="40"/>
        <v>273136.42501831055</v>
      </c>
      <c r="C458" s="1">
        <f t="shared" si="41"/>
        <v>99840000</v>
      </c>
      <c r="D458" s="1">
        <v>28</v>
      </c>
      <c r="E458" s="1">
        <f t="shared" si="42"/>
        <v>734370</v>
      </c>
      <c r="F458" s="1">
        <f t="shared" si="43"/>
        <v>273</v>
      </c>
      <c r="L458" s="1">
        <v>2690</v>
      </c>
    </row>
    <row r="459" spans="1:12" x14ac:dyDescent="0.25">
      <c r="A459" s="1">
        <f t="shared" si="39"/>
        <v>274.13692474365234</v>
      </c>
      <c r="B459" s="1">
        <f t="shared" si="40"/>
        <v>274136.92474365234</v>
      </c>
      <c r="C459" s="1">
        <f t="shared" si="41"/>
        <v>99840000</v>
      </c>
      <c r="D459" s="1">
        <v>28</v>
      </c>
      <c r="E459" s="1">
        <f t="shared" si="42"/>
        <v>737060</v>
      </c>
      <c r="F459" s="1">
        <f t="shared" si="43"/>
        <v>274</v>
      </c>
      <c r="L459" s="1">
        <v>2690</v>
      </c>
    </row>
    <row r="460" spans="1:12" x14ac:dyDescent="0.25">
      <c r="A460" s="1">
        <f t="shared" si="39"/>
        <v>275.13742446899414</v>
      </c>
      <c r="B460" s="1">
        <f t="shared" si="40"/>
        <v>275137.42446899414</v>
      </c>
      <c r="C460" s="1">
        <f t="shared" si="41"/>
        <v>99840000</v>
      </c>
      <c r="D460" s="1">
        <v>28</v>
      </c>
      <c r="E460" s="1">
        <f t="shared" si="42"/>
        <v>739750</v>
      </c>
      <c r="F460" s="1">
        <f t="shared" si="43"/>
        <v>275</v>
      </c>
      <c r="L460" s="1">
        <v>2690</v>
      </c>
    </row>
    <row r="461" spans="1:12" x14ac:dyDescent="0.25">
      <c r="A461" s="1">
        <f t="shared" si="39"/>
        <v>276.13792419433594</v>
      </c>
      <c r="B461" s="1">
        <f t="shared" si="40"/>
        <v>276137.92419433594</v>
      </c>
      <c r="C461" s="1">
        <f t="shared" si="41"/>
        <v>99840000</v>
      </c>
      <c r="D461" s="1">
        <v>28</v>
      </c>
      <c r="E461" s="1">
        <f t="shared" si="42"/>
        <v>742440</v>
      </c>
      <c r="F461" s="1">
        <f t="shared" si="43"/>
        <v>276</v>
      </c>
      <c r="L461" s="1">
        <v>2690</v>
      </c>
    </row>
    <row r="462" spans="1:12" x14ac:dyDescent="0.25">
      <c r="A462" s="1">
        <f t="shared" si="39"/>
        <v>277.13842391967773</v>
      </c>
      <c r="B462" s="1">
        <f t="shared" si="40"/>
        <v>277138.42391967773</v>
      </c>
      <c r="C462" s="1">
        <f t="shared" si="41"/>
        <v>99840000</v>
      </c>
      <c r="D462" s="1">
        <v>28</v>
      </c>
      <c r="E462" s="1">
        <f t="shared" si="42"/>
        <v>745130</v>
      </c>
      <c r="F462" s="1">
        <f t="shared" si="43"/>
        <v>277</v>
      </c>
      <c r="L462" s="1">
        <v>2690</v>
      </c>
    </row>
    <row r="463" spans="1:12" x14ac:dyDescent="0.25">
      <c r="A463" s="1">
        <f t="shared" si="39"/>
        <v>278.13892364501953</v>
      </c>
      <c r="B463" s="1">
        <f t="shared" si="40"/>
        <v>278138.92364501953</v>
      </c>
      <c r="C463" s="1">
        <f t="shared" si="41"/>
        <v>99840000</v>
      </c>
      <c r="D463" s="1">
        <v>28</v>
      </c>
      <c r="E463" s="1">
        <f t="shared" si="42"/>
        <v>747820</v>
      </c>
      <c r="F463" s="1">
        <f t="shared" si="43"/>
        <v>278</v>
      </c>
      <c r="L463" s="1">
        <v>2690</v>
      </c>
    </row>
    <row r="464" spans="1:12" x14ac:dyDescent="0.25">
      <c r="A464" s="1">
        <f t="shared" si="39"/>
        <v>279.13942337036133</v>
      </c>
      <c r="B464" s="1">
        <f t="shared" si="40"/>
        <v>279139.42337036133</v>
      </c>
      <c r="C464" s="1">
        <f t="shared" si="41"/>
        <v>99840000</v>
      </c>
      <c r="D464" s="1">
        <v>28</v>
      </c>
      <c r="E464" s="1">
        <f t="shared" si="42"/>
        <v>750510</v>
      </c>
      <c r="F464" s="1">
        <f t="shared" si="43"/>
        <v>279</v>
      </c>
      <c r="L464" s="1">
        <v>2690</v>
      </c>
    </row>
    <row r="465" spans="1:12" x14ac:dyDescent="0.25">
      <c r="A465" s="1">
        <f t="shared" si="39"/>
        <v>280.13992309570313</v>
      </c>
      <c r="B465" s="1">
        <f t="shared" si="40"/>
        <v>280139.92309570313</v>
      </c>
      <c r="C465" s="1">
        <f t="shared" si="41"/>
        <v>99840000</v>
      </c>
      <c r="D465" s="1">
        <v>28</v>
      </c>
      <c r="E465" s="1">
        <f t="shared" si="42"/>
        <v>753200</v>
      </c>
      <c r="F465" s="1">
        <f t="shared" si="43"/>
        <v>280</v>
      </c>
      <c r="L465" s="1">
        <v>2690</v>
      </c>
    </row>
    <row r="466" spans="1:12" x14ac:dyDescent="0.25">
      <c r="A466" s="1">
        <f t="shared" si="39"/>
        <v>281.14042282104492</v>
      </c>
      <c r="B466" s="1">
        <f t="shared" si="40"/>
        <v>281140.42282104492</v>
      </c>
      <c r="C466" s="1">
        <f t="shared" si="41"/>
        <v>99840000</v>
      </c>
      <c r="D466" s="1">
        <v>28</v>
      </c>
      <c r="E466" s="1">
        <f t="shared" si="42"/>
        <v>755890</v>
      </c>
      <c r="F466" s="1">
        <f t="shared" si="43"/>
        <v>281</v>
      </c>
      <c r="L466" s="1">
        <v>2690</v>
      </c>
    </row>
    <row r="467" spans="1:12" x14ac:dyDescent="0.25">
      <c r="A467" s="1">
        <f t="shared" si="39"/>
        <v>282.14092254638672</v>
      </c>
      <c r="B467" s="1">
        <f t="shared" si="40"/>
        <v>282140.92254638672</v>
      </c>
      <c r="C467" s="1">
        <f t="shared" si="41"/>
        <v>99840000</v>
      </c>
      <c r="D467" s="1">
        <v>28</v>
      </c>
      <c r="E467" s="1">
        <f t="shared" si="42"/>
        <v>758580</v>
      </c>
      <c r="F467" s="1">
        <f t="shared" si="43"/>
        <v>282</v>
      </c>
      <c r="L467" s="1">
        <v>2690</v>
      </c>
    </row>
    <row r="468" spans="1:12" x14ac:dyDescent="0.25">
      <c r="A468" s="1">
        <f t="shared" si="39"/>
        <v>283.14142227172852</v>
      </c>
      <c r="B468" s="1">
        <f t="shared" si="40"/>
        <v>283141.42227172852</v>
      </c>
      <c r="C468" s="1">
        <f t="shared" si="41"/>
        <v>99840000</v>
      </c>
      <c r="D468" s="1">
        <v>28</v>
      </c>
      <c r="E468" s="1">
        <f t="shared" si="42"/>
        <v>761270</v>
      </c>
      <c r="F468" s="1">
        <f t="shared" si="43"/>
        <v>283</v>
      </c>
      <c r="L468" s="1">
        <v>2690</v>
      </c>
    </row>
    <row r="469" spans="1:12" x14ac:dyDescent="0.25">
      <c r="A469" s="1">
        <f t="shared" si="39"/>
        <v>284.14192199707031</v>
      </c>
      <c r="B469" s="1">
        <f t="shared" si="40"/>
        <v>284141.92199707031</v>
      </c>
      <c r="C469" s="1">
        <f t="shared" si="41"/>
        <v>99840000</v>
      </c>
      <c r="D469" s="1">
        <v>28</v>
      </c>
      <c r="E469" s="1">
        <f t="shared" si="42"/>
        <v>763960</v>
      </c>
      <c r="F469" s="1">
        <f t="shared" si="43"/>
        <v>284</v>
      </c>
      <c r="L469" s="1">
        <v>2690</v>
      </c>
    </row>
    <row r="470" spans="1:12" x14ac:dyDescent="0.25">
      <c r="A470" s="1">
        <f t="shared" si="39"/>
        <v>285.14242172241211</v>
      </c>
      <c r="B470" s="1">
        <f t="shared" si="40"/>
        <v>285142.42172241211</v>
      </c>
      <c r="C470" s="1">
        <f t="shared" si="41"/>
        <v>99840000</v>
      </c>
      <c r="D470" s="1">
        <v>28</v>
      </c>
      <c r="E470" s="1">
        <f t="shared" si="42"/>
        <v>766650</v>
      </c>
      <c r="F470" s="1">
        <f t="shared" si="43"/>
        <v>285</v>
      </c>
      <c r="L470" s="1">
        <v>2690</v>
      </c>
    </row>
    <row r="471" spans="1:12" x14ac:dyDescent="0.25">
      <c r="A471" s="1">
        <f t="shared" si="39"/>
        <v>286.14292144775391</v>
      </c>
      <c r="B471" s="1">
        <f t="shared" si="40"/>
        <v>286142.92144775391</v>
      </c>
      <c r="C471" s="1">
        <f t="shared" si="41"/>
        <v>99840000</v>
      </c>
      <c r="D471" s="1">
        <v>28</v>
      </c>
      <c r="E471" s="1">
        <f t="shared" si="42"/>
        <v>769340</v>
      </c>
      <c r="F471" s="1">
        <f t="shared" si="43"/>
        <v>286</v>
      </c>
      <c r="L471" s="1">
        <v>2690</v>
      </c>
    </row>
    <row r="472" spans="1:12" x14ac:dyDescent="0.25">
      <c r="A472" s="1">
        <f t="shared" si="39"/>
        <v>287.1434211730957</v>
      </c>
      <c r="B472" s="1">
        <f t="shared" si="40"/>
        <v>287143.4211730957</v>
      </c>
      <c r="C472" s="1">
        <f t="shared" si="41"/>
        <v>99840000</v>
      </c>
      <c r="D472" s="1">
        <v>28</v>
      </c>
      <c r="E472" s="1">
        <f t="shared" si="42"/>
        <v>772030</v>
      </c>
      <c r="F472" s="1">
        <f t="shared" si="43"/>
        <v>287</v>
      </c>
      <c r="L472" s="1">
        <v>2690</v>
      </c>
    </row>
    <row r="473" spans="1:12" x14ac:dyDescent="0.25">
      <c r="A473" s="1">
        <f t="shared" si="39"/>
        <v>288.1439208984375</v>
      </c>
      <c r="B473" s="1">
        <f t="shared" si="40"/>
        <v>288143.9208984375</v>
      </c>
      <c r="C473" s="1">
        <f t="shared" si="41"/>
        <v>99840000</v>
      </c>
      <c r="D473" s="1">
        <v>28</v>
      </c>
      <c r="E473" s="1">
        <f t="shared" si="42"/>
        <v>774720</v>
      </c>
      <c r="F473" s="1">
        <f t="shared" si="43"/>
        <v>288</v>
      </c>
      <c r="L473" s="1">
        <v>2690</v>
      </c>
    </row>
    <row r="474" spans="1:12" x14ac:dyDescent="0.25">
      <c r="A474" s="1">
        <f t="shared" si="39"/>
        <v>289.1444206237793</v>
      </c>
      <c r="B474" s="1">
        <f t="shared" si="40"/>
        <v>289144.4206237793</v>
      </c>
      <c r="C474" s="1">
        <f t="shared" si="41"/>
        <v>99840000</v>
      </c>
      <c r="D474" s="1">
        <v>28</v>
      </c>
      <c r="E474" s="1">
        <f t="shared" si="42"/>
        <v>777410</v>
      </c>
      <c r="F474" s="1">
        <f t="shared" si="43"/>
        <v>289</v>
      </c>
      <c r="L474" s="1">
        <v>2690</v>
      </c>
    </row>
    <row r="475" spans="1:12" x14ac:dyDescent="0.25">
      <c r="A475" s="1">
        <f t="shared" si="39"/>
        <v>290.14492034912109</v>
      </c>
      <c r="B475" s="1">
        <f t="shared" si="40"/>
        <v>290144.92034912109</v>
      </c>
      <c r="C475" s="1">
        <f t="shared" si="41"/>
        <v>99840000</v>
      </c>
      <c r="D475" s="1">
        <v>28</v>
      </c>
      <c r="E475" s="1">
        <f t="shared" si="42"/>
        <v>780100</v>
      </c>
      <c r="F475" s="1">
        <f t="shared" si="43"/>
        <v>290</v>
      </c>
      <c r="L475" s="1">
        <v>2690</v>
      </c>
    </row>
    <row r="476" spans="1:12" x14ac:dyDescent="0.25">
      <c r="A476" s="1">
        <f t="shared" si="39"/>
        <v>291.14542007446289</v>
      </c>
      <c r="B476" s="1">
        <f t="shared" si="40"/>
        <v>291145.42007446289</v>
      </c>
      <c r="C476" s="1">
        <f t="shared" si="41"/>
        <v>99840000</v>
      </c>
      <c r="D476" s="1">
        <v>28</v>
      </c>
      <c r="E476" s="1">
        <f t="shared" si="42"/>
        <v>782790</v>
      </c>
      <c r="F476" s="1">
        <f t="shared" si="43"/>
        <v>291</v>
      </c>
      <c r="L476" s="1">
        <v>2690</v>
      </c>
    </row>
    <row r="477" spans="1:12" x14ac:dyDescent="0.25">
      <c r="A477" s="1">
        <f t="shared" si="39"/>
        <v>292.14591979980469</v>
      </c>
      <c r="B477" s="1">
        <f t="shared" si="40"/>
        <v>292145.91979980469</v>
      </c>
      <c r="C477" s="1">
        <f t="shared" si="41"/>
        <v>99840000</v>
      </c>
      <c r="D477" s="1">
        <v>28</v>
      </c>
      <c r="E477" s="1">
        <f t="shared" si="42"/>
        <v>785480</v>
      </c>
      <c r="F477" s="1">
        <f t="shared" si="43"/>
        <v>292</v>
      </c>
      <c r="L477" s="1">
        <v>2690</v>
      </c>
    </row>
    <row r="478" spans="1:12" x14ac:dyDescent="0.25">
      <c r="A478" s="1">
        <f t="shared" si="39"/>
        <v>293.14641952514648</v>
      </c>
      <c r="B478" s="1">
        <f t="shared" si="40"/>
        <v>293146.41952514648</v>
      </c>
      <c r="C478" s="1">
        <f t="shared" si="41"/>
        <v>99840000</v>
      </c>
      <c r="D478" s="1">
        <v>28</v>
      </c>
      <c r="E478" s="1">
        <f t="shared" si="42"/>
        <v>788170</v>
      </c>
      <c r="F478" s="1">
        <f t="shared" si="43"/>
        <v>293</v>
      </c>
      <c r="L478" s="1">
        <v>2690</v>
      </c>
    </row>
    <row r="479" spans="1:12" x14ac:dyDescent="0.25">
      <c r="A479" s="1">
        <f t="shared" si="39"/>
        <v>294.14691925048828</v>
      </c>
      <c r="B479" s="1">
        <f t="shared" si="40"/>
        <v>294146.91925048828</v>
      </c>
      <c r="C479" s="1">
        <f t="shared" si="41"/>
        <v>99840000</v>
      </c>
      <c r="D479" s="1">
        <v>28</v>
      </c>
      <c r="E479" s="1">
        <f t="shared" si="42"/>
        <v>790860</v>
      </c>
      <c r="F479" s="1">
        <f t="shared" si="43"/>
        <v>294</v>
      </c>
      <c r="L479" s="1">
        <v>2690</v>
      </c>
    </row>
    <row r="480" spans="1:12" x14ac:dyDescent="0.25">
      <c r="A480" s="1">
        <f t="shared" si="39"/>
        <v>295.14741897583008</v>
      </c>
      <c r="B480" s="1">
        <f t="shared" si="40"/>
        <v>295147.41897583008</v>
      </c>
      <c r="C480" s="1">
        <f t="shared" si="41"/>
        <v>99840000</v>
      </c>
      <c r="D480" s="1">
        <v>28</v>
      </c>
      <c r="E480" s="1">
        <f t="shared" si="42"/>
        <v>793550</v>
      </c>
      <c r="F480" s="1">
        <f t="shared" si="43"/>
        <v>295</v>
      </c>
      <c r="L480" s="1">
        <v>2690</v>
      </c>
    </row>
    <row r="481" spans="1:12" x14ac:dyDescent="0.25">
      <c r="A481" s="1">
        <f t="shared" si="39"/>
        <v>296.14791870117188</v>
      </c>
      <c r="B481" s="1">
        <f t="shared" si="40"/>
        <v>296147.91870117188</v>
      </c>
      <c r="C481" s="1">
        <f t="shared" si="41"/>
        <v>99840000</v>
      </c>
      <c r="D481" s="1">
        <v>28</v>
      </c>
      <c r="E481" s="1">
        <f t="shared" si="42"/>
        <v>796240</v>
      </c>
      <c r="F481" s="1">
        <f t="shared" si="43"/>
        <v>296</v>
      </c>
      <c r="L481" s="1">
        <v>2690</v>
      </c>
    </row>
    <row r="482" spans="1:12" x14ac:dyDescent="0.25">
      <c r="A482" s="1">
        <f t="shared" si="39"/>
        <v>297.14841842651367</v>
      </c>
      <c r="B482" s="1">
        <f t="shared" si="40"/>
        <v>297148.41842651367</v>
      </c>
      <c r="C482" s="1">
        <f t="shared" si="41"/>
        <v>99840000</v>
      </c>
      <c r="D482" s="1">
        <v>28</v>
      </c>
      <c r="E482" s="1">
        <f t="shared" si="42"/>
        <v>798930</v>
      </c>
      <c r="F482" s="1">
        <f t="shared" si="43"/>
        <v>297</v>
      </c>
      <c r="L482" s="1">
        <v>2690</v>
      </c>
    </row>
    <row r="483" spans="1:12" x14ac:dyDescent="0.25">
      <c r="A483" s="1">
        <f t="shared" si="39"/>
        <v>298.14891815185547</v>
      </c>
      <c r="B483" s="1">
        <f t="shared" si="40"/>
        <v>298148.91815185547</v>
      </c>
      <c r="C483" s="1">
        <f t="shared" si="41"/>
        <v>99840000</v>
      </c>
      <c r="D483" s="1">
        <v>28</v>
      </c>
      <c r="E483" s="1">
        <f t="shared" si="42"/>
        <v>801620</v>
      </c>
      <c r="F483" s="1">
        <f t="shared" si="43"/>
        <v>298</v>
      </c>
      <c r="L483" s="1">
        <v>2690</v>
      </c>
    </row>
    <row r="484" spans="1:12" x14ac:dyDescent="0.25">
      <c r="A484" s="1">
        <f t="shared" si="39"/>
        <v>299.14941787719727</v>
      </c>
      <c r="B484" s="1">
        <f t="shared" si="40"/>
        <v>299149.41787719727</v>
      </c>
      <c r="C484" s="1">
        <f t="shared" si="41"/>
        <v>99840000</v>
      </c>
      <c r="D484" s="1">
        <v>28</v>
      </c>
      <c r="E484" s="1">
        <f t="shared" si="42"/>
        <v>804310</v>
      </c>
      <c r="F484" s="1">
        <f t="shared" si="43"/>
        <v>299</v>
      </c>
      <c r="L484" s="1">
        <v>2690</v>
      </c>
    </row>
    <row r="485" spans="1:12" x14ac:dyDescent="0.25">
      <c r="A485" s="1">
        <f t="shared" si="39"/>
        <v>300.14991760253906</v>
      </c>
      <c r="B485" s="1">
        <f t="shared" si="40"/>
        <v>300149.91760253906</v>
      </c>
      <c r="C485" s="1">
        <f t="shared" si="41"/>
        <v>99840000</v>
      </c>
      <c r="D485" s="1">
        <v>28</v>
      </c>
      <c r="E485" s="1">
        <f t="shared" si="42"/>
        <v>807000</v>
      </c>
      <c r="F485" s="1">
        <f t="shared" si="43"/>
        <v>300</v>
      </c>
      <c r="L485" s="1">
        <v>2690</v>
      </c>
    </row>
    <row r="486" spans="1:12" x14ac:dyDescent="0.25">
      <c r="A486" s="1">
        <f t="shared" si="39"/>
        <v>301.15041732788086</v>
      </c>
      <c r="B486" s="1">
        <f t="shared" si="40"/>
        <v>301150.41732788086</v>
      </c>
      <c r="C486" s="1">
        <f t="shared" si="41"/>
        <v>99840000</v>
      </c>
      <c r="D486" s="1">
        <v>28</v>
      </c>
      <c r="E486" s="1">
        <f t="shared" si="42"/>
        <v>809690</v>
      </c>
      <c r="F486" s="1">
        <f t="shared" si="43"/>
        <v>301</v>
      </c>
      <c r="L486" s="1">
        <v>2690</v>
      </c>
    </row>
    <row r="487" spans="1:12" x14ac:dyDescent="0.25">
      <c r="A487" s="1">
        <f t="shared" si="39"/>
        <v>302.15091705322266</v>
      </c>
      <c r="B487" s="1">
        <f t="shared" si="40"/>
        <v>302150.91705322266</v>
      </c>
      <c r="C487" s="1">
        <f t="shared" si="41"/>
        <v>99840000</v>
      </c>
      <c r="D487" s="1">
        <v>28</v>
      </c>
      <c r="E487" s="1">
        <f t="shared" si="42"/>
        <v>812380</v>
      </c>
      <c r="F487" s="1">
        <f t="shared" si="43"/>
        <v>302</v>
      </c>
      <c r="L487" s="1">
        <v>2690</v>
      </c>
    </row>
    <row r="488" spans="1:12" x14ac:dyDescent="0.25">
      <c r="A488" s="1">
        <f t="shared" si="39"/>
        <v>303.15141677856445</v>
      </c>
      <c r="B488" s="1">
        <f t="shared" si="40"/>
        <v>303151.41677856445</v>
      </c>
      <c r="C488" s="1">
        <f t="shared" si="41"/>
        <v>99840000</v>
      </c>
      <c r="D488" s="1">
        <v>28</v>
      </c>
      <c r="E488" s="1">
        <f t="shared" si="42"/>
        <v>815070</v>
      </c>
      <c r="F488" s="1">
        <f t="shared" si="43"/>
        <v>303</v>
      </c>
      <c r="L488" s="1">
        <v>2690</v>
      </c>
    </row>
    <row r="489" spans="1:12" x14ac:dyDescent="0.25">
      <c r="A489" s="1">
        <f t="shared" si="39"/>
        <v>304.15191650390625</v>
      </c>
      <c r="B489" s="1">
        <f t="shared" si="40"/>
        <v>304151.91650390625</v>
      </c>
      <c r="C489" s="1">
        <f t="shared" si="41"/>
        <v>99840000</v>
      </c>
      <c r="D489" s="1">
        <v>28</v>
      </c>
      <c r="E489" s="1">
        <f t="shared" si="42"/>
        <v>817760</v>
      </c>
      <c r="F489" s="1">
        <f t="shared" si="43"/>
        <v>304</v>
      </c>
      <c r="L489" s="1">
        <v>2690</v>
      </c>
    </row>
    <row r="490" spans="1:12" x14ac:dyDescent="0.25">
      <c r="A490" s="1">
        <f t="shared" si="39"/>
        <v>305.15241622924805</v>
      </c>
      <c r="B490" s="1">
        <f t="shared" si="40"/>
        <v>305152.41622924805</v>
      </c>
      <c r="C490" s="1">
        <f t="shared" si="41"/>
        <v>99840000</v>
      </c>
      <c r="D490" s="1">
        <v>28</v>
      </c>
      <c r="E490" s="1">
        <f t="shared" si="42"/>
        <v>820450</v>
      </c>
      <c r="F490" s="1">
        <f t="shared" si="43"/>
        <v>305</v>
      </c>
      <c r="L490" s="1">
        <v>2690</v>
      </c>
    </row>
    <row r="491" spans="1:12" x14ac:dyDescent="0.25">
      <c r="A491" s="1">
        <f t="shared" si="39"/>
        <v>306.15291595458984</v>
      </c>
      <c r="B491" s="1">
        <f t="shared" si="40"/>
        <v>306152.91595458984</v>
      </c>
      <c r="C491" s="1">
        <f t="shared" si="41"/>
        <v>99840000</v>
      </c>
      <c r="D491" s="1">
        <v>28</v>
      </c>
      <c r="E491" s="1">
        <f t="shared" si="42"/>
        <v>823140</v>
      </c>
      <c r="F491" s="1">
        <f t="shared" si="43"/>
        <v>306</v>
      </c>
      <c r="L491" s="1">
        <v>2690</v>
      </c>
    </row>
    <row r="492" spans="1:12" x14ac:dyDescent="0.25">
      <c r="A492" s="1">
        <f t="shared" si="39"/>
        <v>307.15341567993164</v>
      </c>
      <c r="B492" s="1">
        <f t="shared" si="40"/>
        <v>307153.41567993164</v>
      </c>
      <c r="C492" s="1">
        <f t="shared" si="41"/>
        <v>99840000</v>
      </c>
      <c r="D492" s="1">
        <v>28</v>
      </c>
      <c r="E492" s="1">
        <f t="shared" si="42"/>
        <v>825830</v>
      </c>
      <c r="F492" s="1">
        <f t="shared" si="43"/>
        <v>307</v>
      </c>
      <c r="L492" s="1">
        <v>2690</v>
      </c>
    </row>
    <row r="493" spans="1:12" x14ac:dyDescent="0.25">
      <c r="A493" s="1">
        <f t="shared" si="39"/>
        <v>308.15391540527344</v>
      </c>
      <c r="B493" s="1">
        <f t="shared" si="40"/>
        <v>308153.91540527344</v>
      </c>
      <c r="C493" s="1">
        <f t="shared" si="41"/>
        <v>99840000</v>
      </c>
      <c r="D493" s="1">
        <v>28</v>
      </c>
      <c r="E493" s="1">
        <f t="shared" si="42"/>
        <v>828520</v>
      </c>
      <c r="F493" s="1">
        <f t="shared" si="43"/>
        <v>308</v>
      </c>
      <c r="L493" s="1">
        <v>2690</v>
      </c>
    </row>
    <row r="494" spans="1:12" x14ac:dyDescent="0.25">
      <c r="A494" s="1">
        <f t="shared" si="39"/>
        <v>309.15441513061523</v>
      </c>
      <c r="B494" s="1">
        <f t="shared" si="40"/>
        <v>309154.41513061523</v>
      </c>
      <c r="C494" s="1">
        <f t="shared" si="41"/>
        <v>99840000</v>
      </c>
      <c r="D494" s="1">
        <v>28</v>
      </c>
      <c r="E494" s="1">
        <f t="shared" si="42"/>
        <v>831210</v>
      </c>
      <c r="F494" s="1">
        <f t="shared" si="43"/>
        <v>309</v>
      </c>
      <c r="L494" s="1">
        <v>2690</v>
      </c>
    </row>
    <row r="495" spans="1:12" x14ac:dyDescent="0.25">
      <c r="A495" s="1">
        <f t="shared" si="39"/>
        <v>310.15491485595703</v>
      </c>
      <c r="B495" s="1">
        <f t="shared" si="40"/>
        <v>310154.91485595703</v>
      </c>
      <c r="C495" s="1">
        <f t="shared" si="41"/>
        <v>99840000</v>
      </c>
      <c r="D495" s="1">
        <v>28</v>
      </c>
      <c r="E495" s="1">
        <f t="shared" si="42"/>
        <v>833900</v>
      </c>
      <c r="F495" s="1">
        <f t="shared" si="43"/>
        <v>310</v>
      </c>
      <c r="L495" s="1">
        <v>2690</v>
      </c>
    </row>
    <row r="496" spans="1:12" x14ac:dyDescent="0.25">
      <c r="A496" s="1">
        <f t="shared" si="39"/>
        <v>311.15541458129883</v>
      </c>
      <c r="B496" s="1">
        <f t="shared" si="40"/>
        <v>311155.41458129883</v>
      </c>
      <c r="C496" s="1">
        <f t="shared" si="41"/>
        <v>99840000</v>
      </c>
      <c r="D496" s="1">
        <v>28</v>
      </c>
      <c r="E496" s="1">
        <f t="shared" si="42"/>
        <v>836590</v>
      </c>
      <c r="F496" s="1">
        <f t="shared" si="43"/>
        <v>311</v>
      </c>
      <c r="L496" s="1">
        <v>2690</v>
      </c>
    </row>
    <row r="497" spans="1:12" x14ac:dyDescent="0.25">
      <c r="A497" s="1">
        <f t="shared" si="39"/>
        <v>312.15591430664063</v>
      </c>
      <c r="B497" s="1">
        <f t="shared" si="40"/>
        <v>312155.91430664063</v>
      </c>
      <c r="C497" s="1">
        <f t="shared" si="41"/>
        <v>99840000</v>
      </c>
      <c r="D497" s="1">
        <v>28</v>
      </c>
      <c r="E497" s="1">
        <f t="shared" si="42"/>
        <v>839280</v>
      </c>
      <c r="F497" s="1">
        <f t="shared" si="43"/>
        <v>312</v>
      </c>
      <c r="L497" s="1">
        <v>2690</v>
      </c>
    </row>
    <row r="498" spans="1:12" x14ac:dyDescent="0.25">
      <c r="A498" s="1">
        <f t="shared" si="39"/>
        <v>313.15641403198242</v>
      </c>
      <c r="B498" s="1">
        <f t="shared" si="40"/>
        <v>313156.41403198242</v>
      </c>
      <c r="C498" s="1">
        <f t="shared" si="41"/>
        <v>99840000</v>
      </c>
      <c r="D498" s="1">
        <v>28</v>
      </c>
      <c r="E498" s="1">
        <f t="shared" si="42"/>
        <v>841970</v>
      </c>
      <c r="F498" s="1">
        <f t="shared" si="43"/>
        <v>313</v>
      </c>
      <c r="L498" s="1">
        <v>2690</v>
      </c>
    </row>
    <row r="499" spans="1:12" x14ac:dyDescent="0.25">
      <c r="A499" s="1">
        <f t="shared" si="39"/>
        <v>314.15691375732422</v>
      </c>
      <c r="B499" s="1">
        <f t="shared" si="40"/>
        <v>314156.91375732422</v>
      </c>
      <c r="C499" s="1">
        <f t="shared" si="41"/>
        <v>99840000</v>
      </c>
      <c r="D499" s="1">
        <v>28</v>
      </c>
      <c r="E499" s="1">
        <f t="shared" si="42"/>
        <v>844660</v>
      </c>
      <c r="F499" s="1">
        <f t="shared" si="43"/>
        <v>314</v>
      </c>
      <c r="L499" s="1">
        <v>2690</v>
      </c>
    </row>
    <row r="500" spans="1:12" x14ac:dyDescent="0.25">
      <c r="A500" s="1">
        <f t="shared" si="39"/>
        <v>315.15741348266602</v>
      </c>
      <c r="B500" s="1">
        <f t="shared" si="40"/>
        <v>315157.41348266602</v>
      </c>
      <c r="C500" s="1">
        <f t="shared" si="41"/>
        <v>99840000</v>
      </c>
      <c r="D500" s="1">
        <v>28</v>
      </c>
      <c r="E500" s="1">
        <f t="shared" si="42"/>
        <v>847350</v>
      </c>
      <c r="F500" s="1">
        <f t="shared" si="43"/>
        <v>315</v>
      </c>
      <c r="L500" s="1">
        <v>2690</v>
      </c>
    </row>
    <row r="501" spans="1:12" x14ac:dyDescent="0.25">
      <c r="A501" s="1">
        <f t="shared" si="39"/>
        <v>316.15791320800781</v>
      </c>
      <c r="B501" s="1">
        <f t="shared" si="40"/>
        <v>316157.91320800781</v>
      </c>
      <c r="C501" s="1">
        <f t="shared" si="41"/>
        <v>99840000</v>
      </c>
      <c r="D501" s="1">
        <v>28</v>
      </c>
      <c r="E501" s="1">
        <f t="shared" si="42"/>
        <v>850040</v>
      </c>
      <c r="F501" s="1">
        <f t="shared" si="43"/>
        <v>316</v>
      </c>
      <c r="L501" s="1">
        <v>2690</v>
      </c>
    </row>
    <row r="502" spans="1:12" x14ac:dyDescent="0.25">
      <c r="A502" s="1">
        <f t="shared" si="39"/>
        <v>317.15841293334961</v>
      </c>
      <c r="B502" s="1">
        <f t="shared" si="40"/>
        <v>317158.41293334961</v>
      </c>
      <c r="C502" s="1">
        <f t="shared" si="41"/>
        <v>99840000</v>
      </c>
      <c r="D502" s="1">
        <v>28</v>
      </c>
      <c r="E502" s="1">
        <f t="shared" si="42"/>
        <v>852730</v>
      </c>
      <c r="F502" s="1">
        <f t="shared" si="43"/>
        <v>317</v>
      </c>
      <c r="L502" s="1">
        <v>2690</v>
      </c>
    </row>
    <row r="503" spans="1:12" x14ac:dyDescent="0.25">
      <c r="A503" s="1">
        <f t="shared" si="39"/>
        <v>318.15891265869141</v>
      </c>
      <c r="B503" s="1">
        <f t="shared" si="40"/>
        <v>318158.91265869141</v>
      </c>
      <c r="C503" s="1">
        <f t="shared" si="41"/>
        <v>99840000</v>
      </c>
      <c r="D503" s="1">
        <v>28</v>
      </c>
      <c r="E503" s="1">
        <f t="shared" si="42"/>
        <v>855420</v>
      </c>
      <c r="F503" s="1">
        <f t="shared" si="43"/>
        <v>318</v>
      </c>
      <c r="L503" s="1">
        <v>2690</v>
      </c>
    </row>
    <row r="504" spans="1:12" x14ac:dyDescent="0.25">
      <c r="A504" s="1">
        <f t="shared" si="39"/>
        <v>319.1594123840332</v>
      </c>
      <c r="B504" s="1">
        <f t="shared" si="40"/>
        <v>319159.4123840332</v>
      </c>
      <c r="C504" s="1">
        <f t="shared" si="41"/>
        <v>99840000</v>
      </c>
      <c r="D504" s="1">
        <v>28</v>
      </c>
      <c r="E504" s="1">
        <f t="shared" si="42"/>
        <v>858110</v>
      </c>
      <c r="F504" s="1">
        <f t="shared" si="43"/>
        <v>319</v>
      </c>
      <c r="L504" s="1">
        <v>2690</v>
      </c>
    </row>
    <row r="505" spans="1:12" x14ac:dyDescent="0.25">
      <c r="A505" s="1">
        <f t="shared" si="39"/>
        <v>320.159912109375</v>
      </c>
      <c r="B505" s="1">
        <f t="shared" si="40"/>
        <v>320159.912109375</v>
      </c>
      <c r="C505" s="1">
        <f t="shared" si="41"/>
        <v>99840000</v>
      </c>
      <c r="D505" s="1">
        <v>28</v>
      </c>
      <c r="E505" s="1">
        <f t="shared" si="42"/>
        <v>860800</v>
      </c>
      <c r="F505" s="1">
        <f t="shared" si="43"/>
        <v>320</v>
      </c>
      <c r="L505" s="1">
        <v>2690</v>
      </c>
    </row>
    <row r="506" spans="1:12" x14ac:dyDescent="0.25">
      <c r="A506" s="1">
        <f t="shared" si="39"/>
        <v>321.1604118347168</v>
      </c>
      <c r="B506" s="1">
        <f t="shared" si="40"/>
        <v>321160.4118347168</v>
      </c>
      <c r="C506" s="1">
        <f t="shared" si="41"/>
        <v>99840000</v>
      </c>
      <c r="D506" s="1">
        <v>28</v>
      </c>
      <c r="E506" s="1">
        <f t="shared" si="42"/>
        <v>863490</v>
      </c>
      <c r="F506" s="1">
        <f t="shared" si="43"/>
        <v>321</v>
      </c>
      <c r="L506" s="1">
        <v>2690</v>
      </c>
    </row>
    <row r="507" spans="1:12" x14ac:dyDescent="0.25">
      <c r="A507" s="1">
        <f t="shared" ref="A507:A570" si="44">B507/10^3</f>
        <v>322.16091156005859</v>
      </c>
      <c r="B507" s="1">
        <f t="shared" ref="B507:B570" si="45">(E507/2^D507)*C507</f>
        <v>322160.91156005859</v>
      </c>
      <c r="C507" s="1">
        <f t="shared" ref="C507:C570" si="46">99.84*10^6</f>
        <v>99840000</v>
      </c>
      <c r="D507" s="1">
        <v>28</v>
      </c>
      <c r="E507" s="1">
        <f t="shared" ref="E507:E570" si="47">L507*F507</f>
        <v>866180</v>
      </c>
      <c r="F507" s="1">
        <f t="shared" si="43"/>
        <v>322</v>
      </c>
      <c r="L507" s="1">
        <v>2690</v>
      </c>
    </row>
    <row r="508" spans="1:12" x14ac:dyDescent="0.25">
      <c r="A508" s="1">
        <f t="shared" si="44"/>
        <v>323.16141128540039</v>
      </c>
      <c r="B508" s="1">
        <f t="shared" si="45"/>
        <v>323161.41128540039</v>
      </c>
      <c r="C508" s="1">
        <f t="shared" si="46"/>
        <v>99840000</v>
      </c>
      <c r="D508" s="1">
        <v>28</v>
      </c>
      <c r="E508" s="1">
        <f t="shared" si="47"/>
        <v>868870</v>
      </c>
      <c r="F508" s="1">
        <f t="shared" ref="F508:F571" si="48">F507+1</f>
        <v>323</v>
      </c>
      <c r="L508" s="1">
        <v>2690</v>
      </c>
    </row>
    <row r="509" spans="1:12" x14ac:dyDescent="0.25">
      <c r="A509" s="1">
        <f t="shared" si="44"/>
        <v>324.16191101074219</v>
      </c>
      <c r="B509" s="1">
        <f t="shared" si="45"/>
        <v>324161.91101074219</v>
      </c>
      <c r="C509" s="1">
        <f t="shared" si="46"/>
        <v>99840000</v>
      </c>
      <c r="D509" s="1">
        <v>28</v>
      </c>
      <c r="E509" s="1">
        <f t="shared" si="47"/>
        <v>871560</v>
      </c>
      <c r="F509" s="1">
        <f t="shared" si="48"/>
        <v>324</v>
      </c>
      <c r="L509" s="1">
        <v>2690</v>
      </c>
    </row>
    <row r="510" spans="1:12" x14ac:dyDescent="0.25">
      <c r="A510" s="1">
        <f t="shared" si="44"/>
        <v>325.16241073608398</v>
      </c>
      <c r="B510" s="1">
        <f t="shared" si="45"/>
        <v>325162.41073608398</v>
      </c>
      <c r="C510" s="1">
        <f t="shared" si="46"/>
        <v>99840000</v>
      </c>
      <c r="D510" s="1">
        <v>28</v>
      </c>
      <c r="E510" s="1">
        <f t="shared" si="47"/>
        <v>874250</v>
      </c>
      <c r="F510" s="1">
        <f t="shared" si="48"/>
        <v>325</v>
      </c>
      <c r="L510" s="1">
        <v>2690</v>
      </c>
    </row>
    <row r="511" spans="1:12" x14ac:dyDescent="0.25">
      <c r="A511" s="1">
        <f t="shared" si="44"/>
        <v>326.16291046142578</v>
      </c>
      <c r="B511" s="1">
        <f t="shared" si="45"/>
        <v>326162.91046142578</v>
      </c>
      <c r="C511" s="1">
        <f t="shared" si="46"/>
        <v>99840000</v>
      </c>
      <c r="D511" s="1">
        <v>28</v>
      </c>
      <c r="E511" s="1">
        <f t="shared" si="47"/>
        <v>876940</v>
      </c>
      <c r="F511" s="1">
        <f t="shared" si="48"/>
        <v>326</v>
      </c>
      <c r="L511" s="1">
        <v>2690</v>
      </c>
    </row>
    <row r="512" spans="1:12" x14ac:dyDescent="0.25">
      <c r="A512" s="1">
        <f t="shared" si="44"/>
        <v>327.16341018676758</v>
      </c>
      <c r="B512" s="1">
        <f t="shared" si="45"/>
        <v>327163.41018676758</v>
      </c>
      <c r="C512" s="1">
        <f t="shared" si="46"/>
        <v>99840000</v>
      </c>
      <c r="D512" s="1">
        <v>28</v>
      </c>
      <c r="E512" s="1">
        <f t="shared" si="47"/>
        <v>879630</v>
      </c>
      <c r="F512" s="1">
        <f t="shared" si="48"/>
        <v>327</v>
      </c>
      <c r="L512" s="1">
        <v>2690</v>
      </c>
    </row>
    <row r="513" spans="1:12" x14ac:dyDescent="0.25">
      <c r="A513" s="1">
        <f t="shared" si="44"/>
        <v>328.16390991210938</v>
      </c>
      <c r="B513" s="1">
        <f t="shared" si="45"/>
        <v>328163.90991210938</v>
      </c>
      <c r="C513" s="1">
        <f t="shared" si="46"/>
        <v>99840000</v>
      </c>
      <c r="D513" s="1">
        <v>28</v>
      </c>
      <c r="E513" s="1">
        <f t="shared" si="47"/>
        <v>882320</v>
      </c>
      <c r="F513" s="1">
        <f t="shared" si="48"/>
        <v>328</v>
      </c>
      <c r="L513" s="1">
        <v>2690</v>
      </c>
    </row>
    <row r="514" spans="1:12" x14ac:dyDescent="0.25">
      <c r="A514" s="1">
        <f t="shared" si="44"/>
        <v>329.16440963745117</v>
      </c>
      <c r="B514" s="1">
        <f t="shared" si="45"/>
        <v>329164.40963745117</v>
      </c>
      <c r="C514" s="1">
        <f t="shared" si="46"/>
        <v>99840000</v>
      </c>
      <c r="D514" s="1">
        <v>28</v>
      </c>
      <c r="E514" s="1">
        <f t="shared" si="47"/>
        <v>885010</v>
      </c>
      <c r="F514" s="1">
        <f t="shared" si="48"/>
        <v>329</v>
      </c>
      <c r="L514" s="1">
        <v>2690</v>
      </c>
    </row>
    <row r="515" spans="1:12" x14ac:dyDescent="0.25">
      <c r="A515" s="1">
        <f t="shared" si="44"/>
        <v>330.16490936279297</v>
      </c>
      <c r="B515" s="1">
        <f t="shared" si="45"/>
        <v>330164.90936279297</v>
      </c>
      <c r="C515" s="1">
        <f t="shared" si="46"/>
        <v>99840000</v>
      </c>
      <c r="D515" s="1">
        <v>28</v>
      </c>
      <c r="E515" s="1">
        <f t="shared" si="47"/>
        <v>887700</v>
      </c>
      <c r="F515" s="1">
        <f t="shared" si="48"/>
        <v>330</v>
      </c>
      <c r="L515" s="1">
        <v>2690</v>
      </c>
    </row>
    <row r="516" spans="1:12" x14ac:dyDescent="0.25">
      <c r="A516" s="1">
        <f t="shared" si="44"/>
        <v>331.16540908813477</v>
      </c>
      <c r="B516" s="1">
        <f t="shared" si="45"/>
        <v>331165.40908813477</v>
      </c>
      <c r="C516" s="1">
        <f t="shared" si="46"/>
        <v>99840000</v>
      </c>
      <c r="D516" s="1">
        <v>28</v>
      </c>
      <c r="E516" s="1">
        <f t="shared" si="47"/>
        <v>890390</v>
      </c>
      <c r="F516" s="1">
        <f t="shared" si="48"/>
        <v>331</v>
      </c>
      <c r="L516" s="1">
        <v>2690</v>
      </c>
    </row>
    <row r="517" spans="1:12" x14ac:dyDescent="0.25">
      <c r="A517" s="1">
        <f t="shared" si="44"/>
        <v>332.16590881347656</v>
      </c>
      <c r="B517" s="1">
        <f t="shared" si="45"/>
        <v>332165.90881347656</v>
      </c>
      <c r="C517" s="1">
        <f t="shared" si="46"/>
        <v>99840000</v>
      </c>
      <c r="D517" s="1">
        <v>28</v>
      </c>
      <c r="E517" s="1">
        <f t="shared" si="47"/>
        <v>893080</v>
      </c>
      <c r="F517" s="1">
        <f t="shared" si="48"/>
        <v>332</v>
      </c>
      <c r="L517" s="1">
        <v>2690</v>
      </c>
    </row>
    <row r="518" spans="1:12" x14ac:dyDescent="0.25">
      <c r="A518" s="1">
        <f t="shared" si="44"/>
        <v>333.16640853881836</v>
      </c>
      <c r="B518" s="1">
        <f t="shared" si="45"/>
        <v>333166.40853881836</v>
      </c>
      <c r="C518" s="1">
        <f t="shared" si="46"/>
        <v>99840000</v>
      </c>
      <c r="D518" s="1">
        <v>28</v>
      </c>
      <c r="E518" s="1">
        <f t="shared" si="47"/>
        <v>895770</v>
      </c>
      <c r="F518" s="1">
        <f t="shared" si="48"/>
        <v>333</v>
      </c>
      <c r="L518" s="1">
        <v>2690</v>
      </c>
    </row>
    <row r="519" spans="1:12" x14ac:dyDescent="0.25">
      <c r="A519" s="1">
        <f t="shared" si="44"/>
        <v>334.16690826416016</v>
      </c>
      <c r="B519" s="1">
        <f t="shared" si="45"/>
        <v>334166.90826416016</v>
      </c>
      <c r="C519" s="1">
        <f t="shared" si="46"/>
        <v>99840000</v>
      </c>
      <c r="D519" s="1">
        <v>28</v>
      </c>
      <c r="E519" s="1">
        <f t="shared" si="47"/>
        <v>898460</v>
      </c>
      <c r="F519" s="1">
        <f t="shared" si="48"/>
        <v>334</v>
      </c>
      <c r="L519" s="1">
        <v>2690</v>
      </c>
    </row>
    <row r="520" spans="1:12" x14ac:dyDescent="0.25">
      <c r="A520" s="1">
        <f t="shared" si="44"/>
        <v>335.16740798950195</v>
      </c>
      <c r="B520" s="1">
        <f t="shared" si="45"/>
        <v>335167.40798950195</v>
      </c>
      <c r="C520" s="1">
        <f t="shared" si="46"/>
        <v>99840000</v>
      </c>
      <c r="D520" s="1">
        <v>28</v>
      </c>
      <c r="E520" s="1">
        <f t="shared" si="47"/>
        <v>901150</v>
      </c>
      <c r="F520" s="1">
        <f t="shared" si="48"/>
        <v>335</v>
      </c>
      <c r="L520" s="1">
        <v>2690</v>
      </c>
    </row>
    <row r="521" spans="1:12" x14ac:dyDescent="0.25">
      <c r="A521" s="1">
        <f t="shared" si="44"/>
        <v>336.16790771484375</v>
      </c>
      <c r="B521" s="1">
        <f t="shared" si="45"/>
        <v>336167.90771484375</v>
      </c>
      <c r="C521" s="1">
        <f t="shared" si="46"/>
        <v>99840000</v>
      </c>
      <c r="D521" s="1">
        <v>28</v>
      </c>
      <c r="E521" s="1">
        <f t="shared" si="47"/>
        <v>903840</v>
      </c>
      <c r="F521" s="1">
        <f t="shared" si="48"/>
        <v>336</v>
      </c>
      <c r="L521" s="1">
        <v>2690</v>
      </c>
    </row>
    <row r="522" spans="1:12" x14ac:dyDescent="0.25">
      <c r="A522" s="1">
        <f t="shared" si="44"/>
        <v>337.16840744018555</v>
      </c>
      <c r="B522" s="1">
        <f t="shared" si="45"/>
        <v>337168.40744018555</v>
      </c>
      <c r="C522" s="1">
        <f t="shared" si="46"/>
        <v>99840000</v>
      </c>
      <c r="D522" s="1">
        <v>28</v>
      </c>
      <c r="E522" s="1">
        <f t="shared" si="47"/>
        <v>906530</v>
      </c>
      <c r="F522" s="1">
        <f t="shared" si="48"/>
        <v>337</v>
      </c>
      <c r="L522" s="1">
        <v>2690</v>
      </c>
    </row>
    <row r="523" spans="1:12" x14ac:dyDescent="0.25">
      <c r="A523" s="1">
        <f t="shared" si="44"/>
        <v>338.16890716552734</v>
      </c>
      <c r="B523" s="1">
        <f t="shared" si="45"/>
        <v>338168.90716552734</v>
      </c>
      <c r="C523" s="1">
        <f t="shared" si="46"/>
        <v>99840000</v>
      </c>
      <c r="D523" s="1">
        <v>28</v>
      </c>
      <c r="E523" s="1">
        <f t="shared" si="47"/>
        <v>909220</v>
      </c>
      <c r="F523" s="1">
        <f t="shared" si="48"/>
        <v>338</v>
      </c>
      <c r="L523" s="1">
        <v>2690</v>
      </c>
    </row>
    <row r="524" spans="1:12" x14ac:dyDescent="0.25">
      <c r="A524" s="1">
        <f t="shared" si="44"/>
        <v>339.16940689086914</v>
      </c>
      <c r="B524" s="1">
        <f t="shared" si="45"/>
        <v>339169.40689086914</v>
      </c>
      <c r="C524" s="1">
        <f t="shared" si="46"/>
        <v>99840000</v>
      </c>
      <c r="D524" s="1">
        <v>28</v>
      </c>
      <c r="E524" s="1">
        <f t="shared" si="47"/>
        <v>911910</v>
      </c>
      <c r="F524" s="1">
        <f t="shared" si="48"/>
        <v>339</v>
      </c>
      <c r="L524" s="1">
        <v>2690</v>
      </c>
    </row>
    <row r="525" spans="1:12" x14ac:dyDescent="0.25">
      <c r="A525" s="1">
        <f t="shared" si="44"/>
        <v>340.16990661621094</v>
      </c>
      <c r="B525" s="1">
        <f t="shared" si="45"/>
        <v>340169.90661621094</v>
      </c>
      <c r="C525" s="1">
        <f t="shared" si="46"/>
        <v>99840000</v>
      </c>
      <c r="D525" s="1">
        <v>28</v>
      </c>
      <c r="E525" s="1">
        <f t="shared" si="47"/>
        <v>914600</v>
      </c>
      <c r="F525" s="1">
        <f t="shared" si="48"/>
        <v>340</v>
      </c>
      <c r="L525" s="1">
        <v>2690</v>
      </c>
    </row>
    <row r="526" spans="1:12" x14ac:dyDescent="0.25">
      <c r="A526" s="1">
        <f t="shared" si="44"/>
        <v>341.17040634155273</v>
      </c>
      <c r="B526" s="1">
        <f t="shared" si="45"/>
        <v>341170.40634155273</v>
      </c>
      <c r="C526" s="1">
        <f t="shared" si="46"/>
        <v>99840000</v>
      </c>
      <c r="D526" s="1">
        <v>28</v>
      </c>
      <c r="E526" s="1">
        <f t="shared" si="47"/>
        <v>917290</v>
      </c>
      <c r="F526" s="1">
        <f t="shared" si="48"/>
        <v>341</v>
      </c>
      <c r="L526" s="1">
        <v>2690</v>
      </c>
    </row>
    <row r="527" spans="1:12" x14ac:dyDescent="0.25">
      <c r="A527" s="1">
        <f t="shared" si="44"/>
        <v>342.17090606689453</v>
      </c>
      <c r="B527" s="1">
        <f t="shared" si="45"/>
        <v>342170.90606689453</v>
      </c>
      <c r="C527" s="1">
        <f t="shared" si="46"/>
        <v>99840000</v>
      </c>
      <c r="D527" s="1">
        <v>28</v>
      </c>
      <c r="E527" s="1">
        <f t="shared" si="47"/>
        <v>919980</v>
      </c>
      <c r="F527" s="1">
        <f t="shared" si="48"/>
        <v>342</v>
      </c>
      <c r="L527" s="1">
        <v>2690</v>
      </c>
    </row>
    <row r="528" spans="1:12" x14ac:dyDescent="0.25">
      <c r="A528" s="1">
        <f t="shared" si="44"/>
        <v>343.17140579223633</v>
      </c>
      <c r="B528" s="1">
        <f t="shared" si="45"/>
        <v>343171.40579223633</v>
      </c>
      <c r="C528" s="1">
        <f t="shared" si="46"/>
        <v>99840000</v>
      </c>
      <c r="D528" s="1">
        <v>28</v>
      </c>
      <c r="E528" s="1">
        <f t="shared" si="47"/>
        <v>922670</v>
      </c>
      <c r="F528" s="1">
        <f t="shared" si="48"/>
        <v>343</v>
      </c>
      <c r="L528" s="1">
        <v>2690</v>
      </c>
    </row>
    <row r="529" spans="1:12" x14ac:dyDescent="0.25">
      <c r="A529" s="1">
        <f t="shared" si="44"/>
        <v>344.17190551757813</v>
      </c>
      <c r="B529" s="1">
        <f t="shared" si="45"/>
        <v>344171.90551757813</v>
      </c>
      <c r="C529" s="1">
        <f t="shared" si="46"/>
        <v>99840000</v>
      </c>
      <c r="D529" s="1">
        <v>28</v>
      </c>
      <c r="E529" s="1">
        <f t="shared" si="47"/>
        <v>925360</v>
      </c>
      <c r="F529" s="1">
        <f t="shared" si="48"/>
        <v>344</v>
      </c>
      <c r="L529" s="1">
        <v>2690</v>
      </c>
    </row>
    <row r="530" spans="1:12" x14ac:dyDescent="0.25">
      <c r="A530" s="1">
        <f t="shared" si="44"/>
        <v>345.17240524291992</v>
      </c>
      <c r="B530" s="1">
        <f t="shared" si="45"/>
        <v>345172.40524291992</v>
      </c>
      <c r="C530" s="1">
        <f t="shared" si="46"/>
        <v>99840000</v>
      </c>
      <c r="D530" s="1">
        <v>28</v>
      </c>
      <c r="E530" s="1">
        <f t="shared" si="47"/>
        <v>928050</v>
      </c>
      <c r="F530" s="1">
        <f t="shared" si="48"/>
        <v>345</v>
      </c>
      <c r="L530" s="1">
        <v>2690</v>
      </c>
    </row>
    <row r="531" spans="1:12" x14ac:dyDescent="0.25">
      <c r="A531" s="1">
        <f t="shared" si="44"/>
        <v>346.17290496826172</v>
      </c>
      <c r="B531" s="1">
        <f t="shared" si="45"/>
        <v>346172.90496826172</v>
      </c>
      <c r="C531" s="1">
        <f t="shared" si="46"/>
        <v>99840000</v>
      </c>
      <c r="D531" s="1">
        <v>28</v>
      </c>
      <c r="E531" s="1">
        <f t="shared" si="47"/>
        <v>930740</v>
      </c>
      <c r="F531" s="1">
        <f t="shared" si="48"/>
        <v>346</v>
      </c>
      <c r="L531" s="1">
        <v>2690</v>
      </c>
    </row>
    <row r="532" spans="1:12" x14ac:dyDescent="0.25">
      <c r="A532" s="1">
        <f t="shared" si="44"/>
        <v>347.17340469360352</v>
      </c>
      <c r="B532" s="1">
        <f t="shared" si="45"/>
        <v>347173.40469360352</v>
      </c>
      <c r="C532" s="1">
        <f t="shared" si="46"/>
        <v>99840000</v>
      </c>
      <c r="D532" s="1">
        <v>28</v>
      </c>
      <c r="E532" s="1">
        <f t="shared" si="47"/>
        <v>933430</v>
      </c>
      <c r="F532" s="1">
        <f t="shared" si="48"/>
        <v>347</v>
      </c>
      <c r="L532" s="1">
        <v>2690</v>
      </c>
    </row>
    <row r="533" spans="1:12" x14ac:dyDescent="0.25">
      <c r="A533" s="1">
        <f t="shared" si="44"/>
        <v>348.17390441894531</v>
      </c>
      <c r="B533" s="1">
        <f t="shared" si="45"/>
        <v>348173.90441894531</v>
      </c>
      <c r="C533" s="1">
        <f t="shared" si="46"/>
        <v>99840000</v>
      </c>
      <c r="D533" s="1">
        <v>28</v>
      </c>
      <c r="E533" s="1">
        <f t="shared" si="47"/>
        <v>936120</v>
      </c>
      <c r="F533" s="1">
        <f t="shared" si="48"/>
        <v>348</v>
      </c>
      <c r="L533" s="1">
        <v>2690</v>
      </c>
    </row>
    <row r="534" spans="1:12" x14ac:dyDescent="0.25">
      <c r="A534" s="1">
        <f t="shared" si="44"/>
        <v>349.17440414428711</v>
      </c>
      <c r="B534" s="1">
        <f t="shared" si="45"/>
        <v>349174.40414428711</v>
      </c>
      <c r="C534" s="1">
        <f t="shared" si="46"/>
        <v>99840000</v>
      </c>
      <c r="D534" s="1">
        <v>28</v>
      </c>
      <c r="E534" s="1">
        <f t="shared" si="47"/>
        <v>938810</v>
      </c>
      <c r="F534" s="1">
        <f t="shared" si="48"/>
        <v>349</v>
      </c>
      <c r="L534" s="1">
        <v>2690</v>
      </c>
    </row>
    <row r="535" spans="1:12" x14ac:dyDescent="0.25">
      <c r="A535" s="1">
        <f t="shared" si="44"/>
        <v>350.17490386962891</v>
      </c>
      <c r="B535" s="1">
        <f t="shared" si="45"/>
        <v>350174.90386962891</v>
      </c>
      <c r="C535" s="1">
        <f t="shared" si="46"/>
        <v>99840000</v>
      </c>
      <c r="D535" s="1">
        <v>28</v>
      </c>
      <c r="E535" s="1">
        <f t="shared" si="47"/>
        <v>941500</v>
      </c>
      <c r="F535" s="1">
        <f t="shared" si="48"/>
        <v>350</v>
      </c>
      <c r="L535" s="1">
        <v>2690</v>
      </c>
    </row>
    <row r="536" spans="1:12" x14ac:dyDescent="0.25">
      <c r="A536" s="1">
        <f t="shared" si="44"/>
        <v>351.1754035949707</v>
      </c>
      <c r="B536" s="1">
        <f t="shared" si="45"/>
        <v>351175.4035949707</v>
      </c>
      <c r="C536" s="1">
        <f t="shared" si="46"/>
        <v>99840000</v>
      </c>
      <c r="D536" s="1">
        <v>28</v>
      </c>
      <c r="E536" s="1">
        <f t="shared" si="47"/>
        <v>944190</v>
      </c>
      <c r="F536" s="1">
        <f t="shared" si="48"/>
        <v>351</v>
      </c>
      <c r="L536" s="1">
        <v>2690</v>
      </c>
    </row>
    <row r="537" spans="1:12" x14ac:dyDescent="0.25">
      <c r="A537" s="1">
        <f t="shared" si="44"/>
        <v>352.1759033203125</v>
      </c>
      <c r="B537" s="1">
        <f t="shared" si="45"/>
        <v>352175.9033203125</v>
      </c>
      <c r="C537" s="1">
        <f t="shared" si="46"/>
        <v>99840000</v>
      </c>
      <c r="D537" s="1">
        <v>28</v>
      </c>
      <c r="E537" s="1">
        <f t="shared" si="47"/>
        <v>946880</v>
      </c>
      <c r="F537" s="1">
        <f t="shared" si="48"/>
        <v>352</v>
      </c>
      <c r="L537" s="1">
        <v>2690</v>
      </c>
    </row>
    <row r="538" spans="1:12" x14ac:dyDescent="0.25">
      <c r="A538" s="1">
        <f t="shared" si="44"/>
        <v>353.1764030456543</v>
      </c>
      <c r="B538" s="1">
        <f t="shared" si="45"/>
        <v>353176.4030456543</v>
      </c>
      <c r="C538" s="1">
        <f t="shared" si="46"/>
        <v>99840000</v>
      </c>
      <c r="D538" s="1">
        <v>28</v>
      </c>
      <c r="E538" s="1">
        <f t="shared" si="47"/>
        <v>949570</v>
      </c>
      <c r="F538" s="1">
        <f t="shared" si="48"/>
        <v>353</v>
      </c>
      <c r="L538" s="1">
        <v>2690</v>
      </c>
    </row>
    <row r="539" spans="1:12" x14ac:dyDescent="0.25">
      <c r="A539" s="1">
        <f t="shared" si="44"/>
        <v>354.17690277099609</v>
      </c>
      <c r="B539" s="1">
        <f t="shared" si="45"/>
        <v>354176.90277099609</v>
      </c>
      <c r="C539" s="1">
        <f t="shared" si="46"/>
        <v>99840000</v>
      </c>
      <c r="D539" s="1">
        <v>28</v>
      </c>
      <c r="E539" s="1">
        <f t="shared" si="47"/>
        <v>952260</v>
      </c>
      <c r="F539" s="1">
        <f t="shared" si="48"/>
        <v>354</v>
      </c>
      <c r="L539" s="1">
        <v>2690</v>
      </c>
    </row>
    <row r="540" spans="1:12" x14ac:dyDescent="0.25">
      <c r="A540" s="1">
        <f t="shared" si="44"/>
        <v>355.17740249633789</v>
      </c>
      <c r="B540" s="1">
        <f t="shared" si="45"/>
        <v>355177.40249633789</v>
      </c>
      <c r="C540" s="1">
        <f t="shared" si="46"/>
        <v>99840000</v>
      </c>
      <c r="D540" s="1">
        <v>28</v>
      </c>
      <c r="E540" s="1">
        <f t="shared" si="47"/>
        <v>954950</v>
      </c>
      <c r="F540" s="1">
        <f t="shared" si="48"/>
        <v>355</v>
      </c>
      <c r="L540" s="1">
        <v>2690</v>
      </c>
    </row>
    <row r="541" spans="1:12" x14ac:dyDescent="0.25">
      <c r="A541" s="1">
        <f t="shared" si="44"/>
        <v>356.17790222167969</v>
      </c>
      <c r="B541" s="1">
        <f t="shared" si="45"/>
        <v>356177.90222167969</v>
      </c>
      <c r="C541" s="1">
        <f t="shared" si="46"/>
        <v>99840000</v>
      </c>
      <c r="D541" s="1">
        <v>28</v>
      </c>
      <c r="E541" s="1">
        <f t="shared" si="47"/>
        <v>957640</v>
      </c>
      <c r="F541" s="1">
        <f t="shared" si="48"/>
        <v>356</v>
      </c>
      <c r="L541" s="1">
        <v>2690</v>
      </c>
    </row>
    <row r="542" spans="1:12" x14ac:dyDescent="0.25">
      <c r="A542" s="1">
        <f t="shared" si="44"/>
        <v>357.17840194702148</v>
      </c>
      <c r="B542" s="1">
        <f t="shared" si="45"/>
        <v>357178.40194702148</v>
      </c>
      <c r="C542" s="1">
        <f t="shared" si="46"/>
        <v>99840000</v>
      </c>
      <c r="D542" s="1">
        <v>28</v>
      </c>
      <c r="E542" s="1">
        <f t="shared" si="47"/>
        <v>960330</v>
      </c>
      <c r="F542" s="1">
        <f t="shared" si="48"/>
        <v>357</v>
      </c>
      <c r="L542" s="1">
        <v>2690</v>
      </c>
    </row>
    <row r="543" spans="1:12" x14ac:dyDescent="0.25">
      <c r="A543" s="1">
        <f t="shared" si="44"/>
        <v>358.17890167236328</v>
      </c>
      <c r="B543" s="1">
        <f t="shared" si="45"/>
        <v>358178.90167236328</v>
      </c>
      <c r="C543" s="1">
        <f t="shared" si="46"/>
        <v>99840000</v>
      </c>
      <c r="D543" s="1">
        <v>28</v>
      </c>
      <c r="E543" s="1">
        <f t="shared" si="47"/>
        <v>963020</v>
      </c>
      <c r="F543" s="1">
        <f t="shared" si="48"/>
        <v>358</v>
      </c>
      <c r="L543" s="1">
        <v>2690</v>
      </c>
    </row>
    <row r="544" spans="1:12" x14ac:dyDescent="0.25">
      <c r="A544" s="1">
        <f t="shared" si="44"/>
        <v>359.17940139770508</v>
      </c>
      <c r="B544" s="1">
        <f t="shared" si="45"/>
        <v>359179.40139770508</v>
      </c>
      <c r="C544" s="1">
        <f t="shared" si="46"/>
        <v>99840000</v>
      </c>
      <c r="D544" s="1">
        <v>28</v>
      </c>
      <c r="E544" s="1">
        <f t="shared" si="47"/>
        <v>965710</v>
      </c>
      <c r="F544" s="1">
        <f t="shared" si="48"/>
        <v>359</v>
      </c>
      <c r="L544" s="1">
        <v>2690</v>
      </c>
    </row>
    <row r="545" spans="1:12" x14ac:dyDescent="0.25">
      <c r="A545" s="1">
        <f t="shared" si="44"/>
        <v>360.17990112304688</v>
      </c>
      <c r="B545" s="1">
        <f t="shared" si="45"/>
        <v>360179.90112304688</v>
      </c>
      <c r="C545" s="1">
        <f t="shared" si="46"/>
        <v>99840000</v>
      </c>
      <c r="D545" s="1">
        <v>28</v>
      </c>
      <c r="E545" s="1">
        <f t="shared" si="47"/>
        <v>968400</v>
      </c>
      <c r="F545" s="1">
        <f t="shared" si="48"/>
        <v>360</v>
      </c>
      <c r="L545" s="1">
        <v>2690</v>
      </c>
    </row>
    <row r="546" spans="1:12" x14ac:dyDescent="0.25">
      <c r="A546" s="1">
        <f t="shared" si="44"/>
        <v>361.18040084838867</v>
      </c>
      <c r="B546" s="1">
        <f t="shared" si="45"/>
        <v>361180.40084838867</v>
      </c>
      <c r="C546" s="1">
        <f t="shared" si="46"/>
        <v>99840000</v>
      </c>
      <c r="D546" s="1">
        <v>28</v>
      </c>
      <c r="E546" s="1">
        <f t="shared" si="47"/>
        <v>971090</v>
      </c>
      <c r="F546" s="1">
        <f t="shared" si="48"/>
        <v>361</v>
      </c>
      <c r="L546" s="1">
        <v>2690</v>
      </c>
    </row>
    <row r="547" spans="1:12" x14ac:dyDescent="0.25">
      <c r="A547" s="1">
        <f t="shared" si="44"/>
        <v>362.18090057373047</v>
      </c>
      <c r="B547" s="1">
        <f t="shared" si="45"/>
        <v>362180.90057373047</v>
      </c>
      <c r="C547" s="1">
        <f t="shared" si="46"/>
        <v>99840000</v>
      </c>
      <c r="D547" s="1">
        <v>28</v>
      </c>
      <c r="E547" s="1">
        <f t="shared" si="47"/>
        <v>973780</v>
      </c>
      <c r="F547" s="1">
        <f t="shared" si="48"/>
        <v>362</v>
      </c>
      <c r="L547" s="1">
        <v>2690</v>
      </c>
    </row>
    <row r="548" spans="1:12" x14ac:dyDescent="0.25">
      <c r="A548" s="1">
        <f t="shared" si="44"/>
        <v>363.18140029907227</v>
      </c>
      <c r="B548" s="1">
        <f t="shared" si="45"/>
        <v>363181.40029907227</v>
      </c>
      <c r="C548" s="1">
        <f t="shared" si="46"/>
        <v>99840000</v>
      </c>
      <c r="D548" s="1">
        <v>28</v>
      </c>
      <c r="E548" s="1">
        <f t="shared" si="47"/>
        <v>976470</v>
      </c>
      <c r="F548" s="1">
        <f t="shared" si="48"/>
        <v>363</v>
      </c>
      <c r="L548" s="1">
        <v>2690</v>
      </c>
    </row>
    <row r="549" spans="1:12" x14ac:dyDescent="0.25">
      <c r="A549" s="1">
        <f t="shared" si="44"/>
        <v>364.18190002441406</v>
      </c>
      <c r="B549" s="1">
        <f t="shared" si="45"/>
        <v>364181.90002441406</v>
      </c>
      <c r="C549" s="1">
        <f t="shared" si="46"/>
        <v>99840000</v>
      </c>
      <c r="D549" s="1">
        <v>28</v>
      </c>
      <c r="E549" s="1">
        <f t="shared" si="47"/>
        <v>979160</v>
      </c>
      <c r="F549" s="1">
        <f t="shared" si="48"/>
        <v>364</v>
      </c>
      <c r="L549" s="1">
        <v>2690</v>
      </c>
    </row>
    <row r="550" spans="1:12" x14ac:dyDescent="0.25">
      <c r="A550" s="1">
        <f t="shared" si="44"/>
        <v>365.18239974975586</v>
      </c>
      <c r="B550" s="1">
        <f t="shared" si="45"/>
        <v>365182.39974975586</v>
      </c>
      <c r="C550" s="1">
        <f t="shared" si="46"/>
        <v>99840000</v>
      </c>
      <c r="D550" s="1">
        <v>28</v>
      </c>
      <c r="E550" s="1">
        <f t="shared" si="47"/>
        <v>981850</v>
      </c>
      <c r="F550" s="1">
        <f t="shared" si="48"/>
        <v>365</v>
      </c>
      <c r="L550" s="1">
        <v>2690</v>
      </c>
    </row>
    <row r="551" spans="1:12" x14ac:dyDescent="0.25">
      <c r="A551" s="1">
        <f t="shared" si="44"/>
        <v>366.18289947509766</v>
      </c>
      <c r="B551" s="1">
        <f t="shared" si="45"/>
        <v>366182.89947509766</v>
      </c>
      <c r="C551" s="1">
        <f t="shared" si="46"/>
        <v>99840000</v>
      </c>
      <c r="D551" s="1">
        <v>28</v>
      </c>
      <c r="E551" s="1">
        <f t="shared" si="47"/>
        <v>984540</v>
      </c>
      <c r="F551" s="1">
        <f t="shared" si="48"/>
        <v>366</v>
      </c>
      <c r="L551" s="1">
        <v>2690</v>
      </c>
    </row>
    <row r="552" spans="1:12" x14ac:dyDescent="0.25">
      <c r="A552" s="1">
        <f t="shared" si="44"/>
        <v>367.18339920043945</v>
      </c>
      <c r="B552" s="1">
        <f t="shared" si="45"/>
        <v>367183.39920043945</v>
      </c>
      <c r="C552" s="1">
        <f t="shared" si="46"/>
        <v>99840000</v>
      </c>
      <c r="D552" s="1">
        <v>28</v>
      </c>
      <c r="E552" s="1">
        <f t="shared" si="47"/>
        <v>987230</v>
      </c>
      <c r="F552" s="1">
        <f t="shared" si="48"/>
        <v>367</v>
      </c>
      <c r="L552" s="1">
        <v>2690</v>
      </c>
    </row>
    <row r="553" spans="1:12" x14ac:dyDescent="0.25">
      <c r="A553" s="1">
        <f t="shared" si="44"/>
        <v>368.18389892578125</v>
      </c>
      <c r="B553" s="1">
        <f t="shared" si="45"/>
        <v>368183.89892578125</v>
      </c>
      <c r="C553" s="1">
        <f t="shared" si="46"/>
        <v>99840000</v>
      </c>
      <c r="D553" s="1">
        <v>28</v>
      </c>
      <c r="E553" s="1">
        <f t="shared" si="47"/>
        <v>989920</v>
      </c>
      <c r="F553" s="1">
        <f t="shared" si="48"/>
        <v>368</v>
      </c>
      <c r="L553" s="1">
        <v>2690</v>
      </c>
    </row>
    <row r="554" spans="1:12" x14ac:dyDescent="0.25">
      <c r="A554" s="1">
        <f t="shared" si="44"/>
        <v>369.18439865112305</v>
      </c>
      <c r="B554" s="1">
        <f t="shared" si="45"/>
        <v>369184.39865112305</v>
      </c>
      <c r="C554" s="1">
        <f t="shared" si="46"/>
        <v>99840000</v>
      </c>
      <c r="D554" s="1">
        <v>28</v>
      </c>
      <c r="E554" s="1">
        <f t="shared" si="47"/>
        <v>992610</v>
      </c>
      <c r="F554" s="1">
        <f t="shared" si="48"/>
        <v>369</v>
      </c>
      <c r="L554" s="1">
        <v>2690</v>
      </c>
    </row>
    <row r="555" spans="1:12" x14ac:dyDescent="0.25">
      <c r="A555" s="1">
        <f t="shared" si="44"/>
        <v>370.18489837646484</v>
      </c>
      <c r="B555" s="1">
        <f t="shared" si="45"/>
        <v>370184.89837646484</v>
      </c>
      <c r="C555" s="1">
        <f t="shared" si="46"/>
        <v>99840000</v>
      </c>
      <c r="D555" s="1">
        <v>28</v>
      </c>
      <c r="E555" s="1">
        <f t="shared" si="47"/>
        <v>995300</v>
      </c>
      <c r="F555" s="1">
        <f t="shared" si="48"/>
        <v>370</v>
      </c>
      <c r="L555" s="1">
        <v>2690</v>
      </c>
    </row>
    <row r="556" spans="1:12" x14ac:dyDescent="0.25">
      <c r="A556" s="1">
        <f t="shared" si="44"/>
        <v>371.18539810180664</v>
      </c>
      <c r="B556" s="1">
        <f t="shared" si="45"/>
        <v>371185.39810180664</v>
      </c>
      <c r="C556" s="1">
        <f t="shared" si="46"/>
        <v>99840000</v>
      </c>
      <c r="D556" s="1">
        <v>28</v>
      </c>
      <c r="E556" s="1">
        <f t="shared" si="47"/>
        <v>997990</v>
      </c>
      <c r="F556" s="1">
        <f t="shared" si="48"/>
        <v>371</v>
      </c>
      <c r="L556" s="1">
        <v>2690</v>
      </c>
    </row>
    <row r="557" spans="1:12" x14ac:dyDescent="0.25">
      <c r="A557" s="1">
        <f t="shared" si="44"/>
        <v>372.18589782714844</v>
      </c>
      <c r="B557" s="1">
        <f t="shared" si="45"/>
        <v>372185.89782714844</v>
      </c>
      <c r="C557" s="1">
        <f t="shared" si="46"/>
        <v>99840000</v>
      </c>
      <c r="D557" s="1">
        <v>28</v>
      </c>
      <c r="E557" s="1">
        <f t="shared" si="47"/>
        <v>1000680</v>
      </c>
      <c r="F557" s="1">
        <f t="shared" si="48"/>
        <v>372</v>
      </c>
      <c r="L557" s="1">
        <v>2690</v>
      </c>
    </row>
    <row r="558" spans="1:12" x14ac:dyDescent="0.25">
      <c r="A558" s="1">
        <f t="shared" si="44"/>
        <v>373.18639755249023</v>
      </c>
      <c r="B558" s="1">
        <f t="shared" si="45"/>
        <v>373186.39755249023</v>
      </c>
      <c r="C558" s="1">
        <f t="shared" si="46"/>
        <v>99840000</v>
      </c>
      <c r="D558" s="1">
        <v>28</v>
      </c>
      <c r="E558" s="1">
        <f t="shared" si="47"/>
        <v>1003370</v>
      </c>
      <c r="F558" s="1">
        <f t="shared" si="48"/>
        <v>373</v>
      </c>
      <c r="L558" s="1">
        <v>2690</v>
      </c>
    </row>
    <row r="559" spans="1:12" x14ac:dyDescent="0.25">
      <c r="A559" s="1">
        <f t="shared" si="44"/>
        <v>374.18689727783203</v>
      </c>
      <c r="B559" s="1">
        <f t="shared" si="45"/>
        <v>374186.89727783203</v>
      </c>
      <c r="C559" s="1">
        <f t="shared" si="46"/>
        <v>99840000</v>
      </c>
      <c r="D559" s="1">
        <v>28</v>
      </c>
      <c r="E559" s="1">
        <f t="shared" si="47"/>
        <v>1006060</v>
      </c>
      <c r="F559" s="1">
        <f t="shared" si="48"/>
        <v>374</v>
      </c>
      <c r="L559" s="1">
        <v>2690</v>
      </c>
    </row>
    <row r="560" spans="1:12" x14ac:dyDescent="0.25">
      <c r="A560" s="1">
        <f t="shared" si="44"/>
        <v>375.18739700317383</v>
      </c>
      <c r="B560" s="1">
        <f t="shared" si="45"/>
        <v>375187.39700317383</v>
      </c>
      <c r="C560" s="1">
        <f t="shared" si="46"/>
        <v>99840000</v>
      </c>
      <c r="D560" s="1">
        <v>28</v>
      </c>
      <c r="E560" s="1">
        <f t="shared" si="47"/>
        <v>1008750</v>
      </c>
      <c r="F560" s="1">
        <f t="shared" si="48"/>
        <v>375</v>
      </c>
      <c r="L560" s="1">
        <v>2690</v>
      </c>
    </row>
    <row r="561" spans="1:12" x14ac:dyDescent="0.25">
      <c r="A561" s="1">
        <f t="shared" si="44"/>
        <v>376.18789672851563</v>
      </c>
      <c r="B561" s="1">
        <f t="shared" si="45"/>
        <v>376187.89672851563</v>
      </c>
      <c r="C561" s="1">
        <f t="shared" si="46"/>
        <v>99840000</v>
      </c>
      <c r="D561" s="1">
        <v>28</v>
      </c>
      <c r="E561" s="1">
        <f t="shared" si="47"/>
        <v>1011440</v>
      </c>
      <c r="F561" s="1">
        <f t="shared" si="48"/>
        <v>376</v>
      </c>
      <c r="L561" s="1">
        <v>2690</v>
      </c>
    </row>
    <row r="562" spans="1:12" x14ac:dyDescent="0.25">
      <c r="A562" s="1">
        <f t="shared" si="44"/>
        <v>377.18839645385742</v>
      </c>
      <c r="B562" s="1">
        <f t="shared" si="45"/>
        <v>377188.39645385742</v>
      </c>
      <c r="C562" s="1">
        <f t="shared" si="46"/>
        <v>99840000</v>
      </c>
      <c r="D562" s="1">
        <v>28</v>
      </c>
      <c r="E562" s="1">
        <f t="shared" si="47"/>
        <v>1014130</v>
      </c>
      <c r="F562" s="1">
        <f t="shared" si="48"/>
        <v>377</v>
      </c>
      <c r="L562" s="1">
        <v>2690</v>
      </c>
    </row>
    <row r="563" spans="1:12" x14ac:dyDescent="0.25">
      <c r="A563" s="1">
        <f t="shared" si="44"/>
        <v>378.18889617919922</v>
      </c>
      <c r="B563" s="1">
        <f t="shared" si="45"/>
        <v>378188.89617919922</v>
      </c>
      <c r="C563" s="1">
        <f t="shared" si="46"/>
        <v>99840000</v>
      </c>
      <c r="D563" s="1">
        <v>28</v>
      </c>
      <c r="E563" s="1">
        <f t="shared" si="47"/>
        <v>1016820</v>
      </c>
      <c r="F563" s="1">
        <f t="shared" si="48"/>
        <v>378</v>
      </c>
      <c r="L563" s="1">
        <v>2690</v>
      </c>
    </row>
    <row r="564" spans="1:12" x14ac:dyDescent="0.25">
      <c r="A564" s="1">
        <f t="shared" si="44"/>
        <v>379.18939590454102</v>
      </c>
      <c r="B564" s="1">
        <f t="shared" si="45"/>
        <v>379189.39590454102</v>
      </c>
      <c r="C564" s="1">
        <f t="shared" si="46"/>
        <v>99840000</v>
      </c>
      <c r="D564" s="1">
        <v>28</v>
      </c>
      <c r="E564" s="1">
        <f t="shared" si="47"/>
        <v>1019510</v>
      </c>
      <c r="F564" s="1">
        <f t="shared" si="48"/>
        <v>379</v>
      </c>
      <c r="L564" s="1">
        <v>2690</v>
      </c>
    </row>
    <row r="565" spans="1:12" x14ac:dyDescent="0.25">
      <c r="A565" s="1">
        <f t="shared" si="44"/>
        <v>380.18989562988281</v>
      </c>
      <c r="B565" s="1">
        <f t="shared" si="45"/>
        <v>380189.89562988281</v>
      </c>
      <c r="C565" s="1">
        <f t="shared" si="46"/>
        <v>99840000</v>
      </c>
      <c r="D565" s="1">
        <v>28</v>
      </c>
      <c r="E565" s="1">
        <f t="shared" si="47"/>
        <v>1022200</v>
      </c>
      <c r="F565" s="1">
        <f t="shared" si="48"/>
        <v>380</v>
      </c>
      <c r="L565" s="1">
        <v>2690</v>
      </c>
    </row>
    <row r="566" spans="1:12" x14ac:dyDescent="0.25">
      <c r="A566" s="1">
        <f t="shared" si="44"/>
        <v>381.19039535522461</v>
      </c>
      <c r="B566" s="1">
        <f t="shared" si="45"/>
        <v>381190.39535522461</v>
      </c>
      <c r="C566" s="1">
        <f t="shared" si="46"/>
        <v>99840000</v>
      </c>
      <c r="D566" s="1">
        <v>28</v>
      </c>
      <c r="E566" s="1">
        <f t="shared" si="47"/>
        <v>1024890</v>
      </c>
      <c r="F566" s="1">
        <f t="shared" si="48"/>
        <v>381</v>
      </c>
      <c r="L566" s="1">
        <v>2690</v>
      </c>
    </row>
    <row r="567" spans="1:12" x14ac:dyDescent="0.25">
      <c r="A567" s="1">
        <f t="shared" si="44"/>
        <v>382.19089508056641</v>
      </c>
      <c r="B567" s="1">
        <f t="shared" si="45"/>
        <v>382190.89508056641</v>
      </c>
      <c r="C567" s="1">
        <f t="shared" si="46"/>
        <v>99840000</v>
      </c>
      <c r="D567" s="1">
        <v>28</v>
      </c>
      <c r="E567" s="1">
        <f t="shared" si="47"/>
        <v>1027580</v>
      </c>
      <c r="F567" s="1">
        <f t="shared" si="48"/>
        <v>382</v>
      </c>
      <c r="L567" s="1">
        <v>2690</v>
      </c>
    </row>
    <row r="568" spans="1:12" x14ac:dyDescent="0.25">
      <c r="A568" s="1">
        <f t="shared" si="44"/>
        <v>383.1913948059082</v>
      </c>
      <c r="B568" s="1">
        <f t="shared" si="45"/>
        <v>383191.3948059082</v>
      </c>
      <c r="C568" s="1">
        <f t="shared" si="46"/>
        <v>99840000</v>
      </c>
      <c r="D568" s="1">
        <v>28</v>
      </c>
      <c r="E568" s="1">
        <f t="shared" si="47"/>
        <v>1030270</v>
      </c>
      <c r="F568" s="1">
        <f t="shared" si="48"/>
        <v>383</v>
      </c>
      <c r="L568" s="1">
        <v>2690</v>
      </c>
    </row>
    <row r="569" spans="1:12" x14ac:dyDescent="0.25">
      <c r="A569" s="1">
        <f t="shared" si="44"/>
        <v>384.19189453125</v>
      </c>
      <c r="B569" s="1">
        <f t="shared" si="45"/>
        <v>384191.89453125</v>
      </c>
      <c r="C569" s="1">
        <f t="shared" si="46"/>
        <v>99840000</v>
      </c>
      <c r="D569" s="1">
        <v>28</v>
      </c>
      <c r="E569" s="1">
        <f t="shared" si="47"/>
        <v>1032960</v>
      </c>
      <c r="F569" s="1">
        <f t="shared" si="48"/>
        <v>384</v>
      </c>
      <c r="L569" s="1">
        <v>2690</v>
      </c>
    </row>
    <row r="570" spans="1:12" x14ac:dyDescent="0.25">
      <c r="A570" s="1">
        <f t="shared" si="44"/>
        <v>385.1923942565918</v>
      </c>
      <c r="B570" s="1">
        <f t="shared" si="45"/>
        <v>385192.3942565918</v>
      </c>
      <c r="C570" s="1">
        <f t="shared" si="46"/>
        <v>99840000</v>
      </c>
      <c r="D570" s="1">
        <v>28</v>
      </c>
      <c r="E570" s="1">
        <f t="shared" si="47"/>
        <v>1035650</v>
      </c>
      <c r="F570" s="1">
        <f t="shared" si="48"/>
        <v>385</v>
      </c>
      <c r="L570" s="1">
        <v>2690</v>
      </c>
    </row>
    <row r="571" spans="1:12" x14ac:dyDescent="0.25">
      <c r="A571" s="1">
        <f t="shared" ref="A571:A634" si="49">B571/10^3</f>
        <v>386.19289398193359</v>
      </c>
      <c r="B571" s="1">
        <f t="shared" ref="B571:B634" si="50">(E571/2^D571)*C571</f>
        <v>386192.89398193359</v>
      </c>
      <c r="C571" s="1">
        <f t="shared" ref="C571:C634" si="51">99.84*10^6</f>
        <v>99840000</v>
      </c>
      <c r="D571" s="1">
        <v>28</v>
      </c>
      <c r="E571" s="1">
        <f t="shared" ref="E571:E634" si="52">L571*F571</f>
        <v>1038340</v>
      </c>
      <c r="F571" s="1">
        <f t="shared" si="48"/>
        <v>386</v>
      </c>
      <c r="L571" s="1">
        <v>2690</v>
      </c>
    </row>
    <row r="572" spans="1:12" x14ac:dyDescent="0.25">
      <c r="A572" s="1">
        <f t="shared" si="49"/>
        <v>387.19339370727539</v>
      </c>
      <c r="B572" s="1">
        <f t="shared" si="50"/>
        <v>387193.39370727539</v>
      </c>
      <c r="C572" s="1">
        <f t="shared" si="51"/>
        <v>99840000</v>
      </c>
      <c r="D572" s="1">
        <v>28</v>
      </c>
      <c r="E572" s="1">
        <f t="shared" si="52"/>
        <v>1041030</v>
      </c>
      <c r="F572" s="1">
        <f t="shared" ref="F572:F635" si="53">F571+1</f>
        <v>387</v>
      </c>
      <c r="L572" s="1">
        <v>2690</v>
      </c>
    </row>
    <row r="573" spans="1:12" x14ac:dyDescent="0.25">
      <c r="A573" s="1">
        <f t="shared" si="49"/>
        <v>388.19389343261719</v>
      </c>
      <c r="B573" s="1">
        <f t="shared" si="50"/>
        <v>388193.89343261719</v>
      </c>
      <c r="C573" s="1">
        <f t="shared" si="51"/>
        <v>99840000</v>
      </c>
      <c r="D573" s="1">
        <v>28</v>
      </c>
      <c r="E573" s="1">
        <f t="shared" si="52"/>
        <v>1043720</v>
      </c>
      <c r="F573" s="1">
        <f t="shared" si="53"/>
        <v>388</v>
      </c>
      <c r="L573" s="1">
        <v>2690</v>
      </c>
    </row>
    <row r="574" spans="1:12" x14ac:dyDescent="0.25">
      <c r="A574" s="1">
        <f t="shared" si="49"/>
        <v>389.19439315795898</v>
      </c>
      <c r="B574" s="1">
        <f t="shared" si="50"/>
        <v>389194.39315795898</v>
      </c>
      <c r="C574" s="1">
        <f t="shared" si="51"/>
        <v>99840000</v>
      </c>
      <c r="D574" s="1">
        <v>28</v>
      </c>
      <c r="E574" s="1">
        <f t="shared" si="52"/>
        <v>1046410</v>
      </c>
      <c r="F574" s="1">
        <f t="shared" si="53"/>
        <v>389</v>
      </c>
      <c r="L574" s="1">
        <v>2690</v>
      </c>
    </row>
    <row r="575" spans="1:12" x14ac:dyDescent="0.25">
      <c r="A575" s="1">
        <f t="shared" si="49"/>
        <v>390.19489288330078</v>
      </c>
      <c r="B575" s="1">
        <f t="shared" si="50"/>
        <v>390194.89288330078</v>
      </c>
      <c r="C575" s="1">
        <f t="shared" si="51"/>
        <v>99840000</v>
      </c>
      <c r="D575" s="1">
        <v>28</v>
      </c>
      <c r="E575" s="1">
        <f t="shared" si="52"/>
        <v>1049100</v>
      </c>
      <c r="F575" s="1">
        <f t="shared" si="53"/>
        <v>390</v>
      </c>
      <c r="L575" s="1">
        <v>2690</v>
      </c>
    </row>
    <row r="576" spans="1:12" x14ac:dyDescent="0.25">
      <c r="A576" s="1">
        <f t="shared" si="49"/>
        <v>391.19539260864258</v>
      </c>
      <c r="B576" s="1">
        <f t="shared" si="50"/>
        <v>391195.39260864258</v>
      </c>
      <c r="C576" s="1">
        <f t="shared" si="51"/>
        <v>99840000</v>
      </c>
      <c r="D576" s="1">
        <v>28</v>
      </c>
      <c r="E576" s="1">
        <f t="shared" si="52"/>
        <v>1051790</v>
      </c>
      <c r="F576" s="1">
        <f t="shared" si="53"/>
        <v>391</v>
      </c>
      <c r="L576" s="1">
        <v>2690</v>
      </c>
    </row>
    <row r="577" spans="1:12" x14ac:dyDescent="0.25">
      <c r="A577" s="1">
        <f t="shared" si="49"/>
        <v>392.19589233398438</v>
      </c>
      <c r="B577" s="1">
        <f t="shared" si="50"/>
        <v>392195.89233398438</v>
      </c>
      <c r="C577" s="1">
        <f t="shared" si="51"/>
        <v>99840000</v>
      </c>
      <c r="D577" s="1">
        <v>28</v>
      </c>
      <c r="E577" s="1">
        <f t="shared" si="52"/>
        <v>1054480</v>
      </c>
      <c r="F577" s="1">
        <f t="shared" si="53"/>
        <v>392</v>
      </c>
      <c r="L577" s="1">
        <v>2690</v>
      </c>
    </row>
    <row r="578" spans="1:12" x14ac:dyDescent="0.25">
      <c r="A578" s="1">
        <f t="shared" si="49"/>
        <v>393.19639205932617</v>
      </c>
      <c r="B578" s="1">
        <f t="shared" si="50"/>
        <v>393196.39205932617</v>
      </c>
      <c r="C578" s="1">
        <f t="shared" si="51"/>
        <v>99840000</v>
      </c>
      <c r="D578" s="1">
        <v>28</v>
      </c>
      <c r="E578" s="1">
        <f t="shared" si="52"/>
        <v>1057170</v>
      </c>
      <c r="F578" s="1">
        <f t="shared" si="53"/>
        <v>393</v>
      </c>
      <c r="L578" s="1">
        <v>2690</v>
      </c>
    </row>
    <row r="579" spans="1:12" x14ac:dyDescent="0.25">
      <c r="A579" s="1">
        <f t="shared" si="49"/>
        <v>394.19689178466797</v>
      </c>
      <c r="B579" s="1">
        <f t="shared" si="50"/>
        <v>394196.89178466797</v>
      </c>
      <c r="C579" s="1">
        <f t="shared" si="51"/>
        <v>99840000</v>
      </c>
      <c r="D579" s="1">
        <v>28</v>
      </c>
      <c r="E579" s="1">
        <f t="shared" si="52"/>
        <v>1059860</v>
      </c>
      <c r="F579" s="1">
        <f t="shared" si="53"/>
        <v>394</v>
      </c>
      <c r="L579" s="1">
        <v>2690</v>
      </c>
    </row>
    <row r="580" spans="1:12" x14ac:dyDescent="0.25">
      <c r="A580" s="1">
        <f t="shared" si="49"/>
        <v>395.19739151000977</v>
      </c>
      <c r="B580" s="1">
        <f t="shared" si="50"/>
        <v>395197.39151000977</v>
      </c>
      <c r="C580" s="1">
        <f t="shared" si="51"/>
        <v>99840000</v>
      </c>
      <c r="D580" s="1">
        <v>28</v>
      </c>
      <c r="E580" s="1">
        <f t="shared" si="52"/>
        <v>1062550</v>
      </c>
      <c r="F580" s="1">
        <f t="shared" si="53"/>
        <v>395</v>
      </c>
      <c r="L580" s="1">
        <v>2690</v>
      </c>
    </row>
    <row r="581" spans="1:12" x14ac:dyDescent="0.25">
      <c r="A581" s="1">
        <f t="shared" si="49"/>
        <v>396.19789123535156</v>
      </c>
      <c r="B581" s="1">
        <f t="shared" si="50"/>
        <v>396197.89123535156</v>
      </c>
      <c r="C581" s="1">
        <f t="shared" si="51"/>
        <v>99840000</v>
      </c>
      <c r="D581" s="1">
        <v>28</v>
      </c>
      <c r="E581" s="1">
        <f t="shared" si="52"/>
        <v>1065240</v>
      </c>
      <c r="F581" s="1">
        <f t="shared" si="53"/>
        <v>396</v>
      </c>
      <c r="L581" s="1">
        <v>2690</v>
      </c>
    </row>
    <row r="582" spans="1:12" x14ac:dyDescent="0.25">
      <c r="A582" s="1">
        <f t="shared" si="49"/>
        <v>397.19839096069336</v>
      </c>
      <c r="B582" s="1">
        <f t="shared" si="50"/>
        <v>397198.39096069336</v>
      </c>
      <c r="C582" s="1">
        <f t="shared" si="51"/>
        <v>99840000</v>
      </c>
      <c r="D582" s="1">
        <v>28</v>
      </c>
      <c r="E582" s="1">
        <f t="shared" si="52"/>
        <v>1067930</v>
      </c>
      <c r="F582" s="1">
        <f t="shared" si="53"/>
        <v>397</v>
      </c>
      <c r="L582" s="1">
        <v>2690</v>
      </c>
    </row>
    <row r="583" spans="1:12" x14ac:dyDescent="0.25">
      <c r="A583" s="1">
        <f t="shared" si="49"/>
        <v>398.19889068603516</v>
      </c>
      <c r="B583" s="1">
        <f t="shared" si="50"/>
        <v>398198.89068603516</v>
      </c>
      <c r="C583" s="1">
        <f t="shared" si="51"/>
        <v>99840000</v>
      </c>
      <c r="D583" s="1">
        <v>28</v>
      </c>
      <c r="E583" s="1">
        <f t="shared" si="52"/>
        <v>1070620</v>
      </c>
      <c r="F583" s="1">
        <f t="shared" si="53"/>
        <v>398</v>
      </c>
      <c r="L583" s="1">
        <v>2690</v>
      </c>
    </row>
    <row r="584" spans="1:12" x14ac:dyDescent="0.25">
      <c r="A584" s="1">
        <f t="shared" si="49"/>
        <v>399.19939041137695</v>
      </c>
      <c r="B584" s="1">
        <f t="shared" si="50"/>
        <v>399199.39041137695</v>
      </c>
      <c r="C584" s="1">
        <f t="shared" si="51"/>
        <v>99840000</v>
      </c>
      <c r="D584" s="1">
        <v>28</v>
      </c>
      <c r="E584" s="1">
        <f t="shared" si="52"/>
        <v>1073310</v>
      </c>
      <c r="F584" s="1">
        <f t="shared" si="53"/>
        <v>399</v>
      </c>
      <c r="L584" s="1">
        <v>2690</v>
      </c>
    </row>
    <row r="585" spans="1:12" x14ac:dyDescent="0.25">
      <c r="A585" s="1">
        <f t="shared" si="49"/>
        <v>400.19989013671875</v>
      </c>
      <c r="B585" s="1">
        <f t="shared" si="50"/>
        <v>400199.89013671875</v>
      </c>
      <c r="C585" s="1">
        <f t="shared" si="51"/>
        <v>99840000</v>
      </c>
      <c r="D585" s="1">
        <v>28</v>
      </c>
      <c r="E585" s="1">
        <f t="shared" si="52"/>
        <v>1076000</v>
      </c>
      <c r="F585" s="1">
        <f t="shared" si="53"/>
        <v>400</v>
      </c>
      <c r="L585" s="1">
        <v>2690</v>
      </c>
    </row>
    <row r="586" spans="1:12" x14ac:dyDescent="0.25">
      <c r="A586" s="1">
        <f t="shared" si="49"/>
        <v>401.20038986206055</v>
      </c>
      <c r="B586" s="1">
        <f t="shared" si="50"/>
        <v>401200.38986206055</v>
      </c>
      <c r="C586" s="1">
        <f t="shared" si="51"/>
        <v>99840000</v>
      </c>
      <c r="D586" s="1">
        <v>28</v>
      </c>
      <c r="E586" s="1">
        <f t="shared" si="52"/>
        <v>1078690</v>
      </c>
      <c r="F586" s="1">
        <f t="shared" si="53"/>
        <v>401</v>
      </c>
      <c r="L586" s="1">
        <v>2690</v>
      </c>
    </row>
    <row r="587" spans="1:12" x14ac:dyDescent="0.25">
      <c r="A587" s="1">
        <f t="shared" si="49"/>
        <v>402.20088958740234</v>
      </c>
      <c r="B587" s="1">
        <f t="shared" si="50"/>
        <v>402200.88958740234</v>
      </c>
      <c r="C587" s="1">
        <f t="shared" si="51"/>
        <v>99840000</v>
      </c>
      <c r="D587" s="1">
        <v>28</v>
      </c>
      <c r="E587" s="1">
        <f t="shared" si="52"/>
        <v>1081380</v>
      </c>
      <c r="F587" s="1">
        <f t="shared" si="53"/>
        <v>402</v>
      </c>
      <c r="L587" s="1">
        <v>2690</v>
      </c>
    </row>
    <row r="588" spans="1:12" x14ac:dyDescent="0.25">
      <c r="A588" s="1">
        <f t="shared" si="49"/>
        <v>403.20138931274414</v>
      </c>
      <c r="B588" s="1">
        <f t="shared" si="50"/>
        <v>403201.38931274414</v>
      </c>
      <c r="C588" s="1">
        <f t="shared" si="51"/>
        <v>99840000</v>
      </c>
      <c r="D588" s="1">
        <v>28</v>
      </c>
      <c r="E588" s="1">
        <f t="shared" si="52"/>
        <v>1084070</v>
      </c>
      <c r="F588" s="1">
        <f t="shared" si="53"/>
        <v>403</v>
      </c>
      <c r="L588" s="1">
        <v>2690</v>
      </c>
    </row>
    <row r="589" spans="1:12" x14ac:dyDescent="0.25">
      <c r="A589" s="1">
        <f t="shared" si="49"/>
        <v>404.20188903808594</v>
      </c>
      <c r="B589" s="1">
        <f t="shared" si="50"/>
        <v>404201.88903808594</v>
      </c>
      <c r="C589" s="1">
        <f t="shared" si="51"/>
        <v>99840000</v>
      </c>
      <c r="D589" s="1">
        <v>28</v>
      </c>
      <c r="E589" s="1">
        <f t="shared" si="52"/>
        <v>1086760</v>
      </c>
      <c r="F589" s="1">
        <f t="shared" si="53"/>
        <v>404</v>
      </c>
      <c r="L589" s="1">
        <v>2690</v>
      </c>
    </row>
    <row r="590" spans="1:12" x14ac:dyDescent="0.25">
      <c r="A590" s="1">
        <f t="shared" si="49"/>
        <v>405.20238876342773</v>
      </c>
      <c r="B590" s="1">
        <f t="shared" si="50"/>
        <v>405202.38876342773</v>
      </c>
      <c r="C590" s="1">
        <f t="shared" si="51"/>
        <v>99840000</v>
      </c>
      <c r="D590" s="1">
        <v>28</v>
      </c>
      <c r="E590" s="1">
        <f t="shared" si="52"/>
        <v>1089450</v>
      </c>
      <c r="F590" s="1">
        <f t="shared" si="53"/>
        <v>405</v>
      </c>
      <c r="L590" s="1">
        <v>2690</v>
      </c>
    </row>
    <row r="591" spans="1:12" x14ac:dyDescent="0.25">
      <c r="A591" s="1">
        <f t="shared" si="49"/>
        <v>406.20288848876953</v>
      </c>
      <c r="B591" s="1">
        <f t="shared" si="50"/>
        <v>406202.88848876953</v>
      </c>
      <c r="C591" s="1">
        <f t="shared" si="51"/>
        <v>99840000</v>
      </c>
      <c r="D591" s="1">
        <v>28</v>
      </c>
      <c r="E591" s="1">
        <f t="shared" si="52"/>
        <v>1092140</v>
      </c>
      <c r="F591" s="1">
        <f t="shared" si="53"/>
        <v>406</v>
      </c>
      <c r="L591" s="1">
        <v>2690</v>
      </c>
    </row>
    <row r="592" spans="1:12" x14ac:dyDescent="0.25">
      <c r="A592" s="1">
        <f t="shared" si="49"/>
        <v>407.20338821411133</v>
      </c>
      <c r="B592" s="1">
        <f t="shared" si="50"/>
        <v>407203.38821411133</v>
      </c>
      <c r="C592" s="1">
        <f t="shared" si="51"/>
        <v>99840000</v>
      </c>
      <c r="D592" s="1">
        <v>28</v>
      </c>
      <c r="E592" s="1">
        <f t="shared" si="52"/>
        <v>1094830</v>
      </c>
      <c r="F592" s="1">
        <f t="shared" si="53"/>
        <v>407</v>
      </c>
      <c r="L592" s="1">
        <v>2690</v>
      </c>
    </row>
    <row r="593" spans="1:12" x14ac:dyDescent="0.25">
      <c r="A593" s="1">
        <f t="shared" si="49"/>
        <v>408.20388793945313</v>
      </c>
      <c r="B593" s="1">
        <f t="shared" si="50"/>
        <v>408203.88793945313</v>
      </c>
      <c r="C593" s="1">
        <f t="shared" si="51"/>
        <v>99840000</v>
      </c>
      <c r="D593" s="1">
        <v>28</v>
      </c>
      <c r="E593" s="1">
        <f t="shared" si="52"/>
        <v>1097520</v>
      </c>
      <c r="F593" s="1">
        <f t="shared" si="53"/>
        <v>408</v>
      </c>
      <c r="L593" s="1">
        <v>2690</v>
      </c>
    </row>
    <row r="594" spans="1:12" x14ac:dyDescent="0.25">
      <c r="A594" s="1">
        <f t="shared" si="49"/>
        <v>409.20438766479492</v>
      </c>
      <c r="B594" s="1">
        <f t="shared" si="50"/>
        <v>409204.38766479492</v>
      </c>
      <c r="C594" s="1">
        <f t="shared" si="51"/>
        <v>99840000</v>
      </c>
      <c r="D594" s="1">
        <v>28</v>
      </c>
      <c r="E594" s="1">
        <f t="shared" si="52"/>
        <v>1100210</v>
      </c>
      <c r="F594" s="1">
        <f t="shared" si="53"/>
        <v>409</v>
      </c>
      <c r="L594" s="1">
        <v>2690</v>
      </c>
    </row>
    <row r="595" spans="1:12" x14ac:dyDescent="0.25">
      <c r="A595" s="1">
        <f t="shared" si="49"/>
        <v>410.20488739013672</v>
      </c>
      <c r="B595" s="1">
        <f t="shared" si="50"/>
        <v>410204.88739013672</v>
      </c>
      <c r="C595" s="1">
        <f t="shared" si="51"/>
        <v>99840000</v>
      </c>
      <c r="D595" s="1">
        <v>28</v>
      </c>
      <c r="E595" s="1">
        <f t="shared" si="52"/>
        <v>1102900</v>
      </c>
      <c r="F595" s="1">
        <f t="shared" si="53"/>
        <v>410</v>
      </c>
      <c r="L595" s="1">
        <v>2690</v>
      </c>
    </row>
    <row r="596" spans="1:12" x14ac:dyDescent="0.25">
      <c r="A596" s="1">
        <f t="shared" si="49"/>
        <v>411.20538711547852</v>
      </c>
      <c r="B596" s="1">
        <f t="shared" si="50"/>
        <v>411205.38711547852</v>
      </c>
      <c r="C596" s="1">
        <f t="shared" si="51"/>
        <v>99840000</v>
      </c>
      <c r="D596" s="1">
        <v>28</v>
      </c>
      <c r="E596" s="1">
        <f t="shared" si="52"/>
        <v>1105590</v>
      </c>
      <c r="F596" s="1">
        <f t="shared" si="53"/>
        <v>411</v>
      </c>
      <c r="L596" s="1">
        <v>2690</v>
      </c>
    </row>
    <row r="597" spans="1:12" x14ac:dyDescent="0.25">
      <c r="A597" s="1">
        <f t="shared" si="49"/>
        <v>412.20588684082031</v>
      </c>
      <c r="B597" s="1">
        <f t="shared" si="50"/>
        <v>412205.88684082031</v>
      </c>
      <c r="C597" s="1">
        <f t="shared" si="51"/>
        <v>99840000</v>
      </c>
      <c r="D597" s="1">
        <v>28</v>
      </c>
      <c r="E597" s="1">
        <f t="shared" si="52"/>
        <v>1108280</v>
      </c>
      <c r="F597" s="1">
        <f t="shared" si="53"/>
        <v>412</v>
      </c>
      <c r="L597" s="1">
        <v>2690</v>
      </c>
    </row>
    <row r="598" spans="1:12" x14ac:dyDescent="0.25">
      <c r="A598" s="1">
        <f t="shared" si="49"/>
        <v>413.20638656616211</v>
      </c>
      <c r="B598" s="1">
        <f t="shared" si="50"/>
        <v>413206.38656616211</v>
      </c>
      <c r="C598" s="1">
        <f t="shared" si="51"/>
        <v>99840000</v>
      </c>
      <c r="D598" s="1">
        <v>28</v>
      </c>
      <c r="E598" s="1">
        <f t="shared" si="52"/>
        <v>1110970</v>
      </c>
      <c r="F598" s="1">
        <f t="shared" si="53"/>
        <v>413</v>
      </c>
      <c r="L598" s="1">
        <v>2690</v>
      </c>
    </row>
    <row r="599" spans="1:12" x14ac:dyDescent="0.25">
      <c r="A599" s="1">
        <f t="shared" si="49"/>
        <v>414.20688629150391</v>
      </c>
      <c r="B599" s="1">
        <f t="shared" si="50"/>
        <v>414206.88629150391</v>
      </c>
      <c r="C599" s="1">
        <f t="shared" si="51"/>
        <v>99840000</v>
      </c>
      <c r="D599" s="1">
        <v>28</v>
      </c>
      <c r="E599" s="1">
        <f t="shared" si="52"/>
        <v>1113660</v>
      </c>
      <c r="F599" s="1">
        <f t="shared" si="53"/>
        <v>414</v>
      </c>
      <c r="L599" s="1">
        <v>2690</v>
      </c>
    </row>
    <row r="600" spans="1:12" x14ac:dyDescent="0.25">
      <c r="A600" s="1">
        <f t="shared" si="49"/>
        <v>415.2073860168457</v>
      </c>
      <c r="B600" s="1">
        <f t="shared" si="50"/>
        <v>415207.3860168457</v>
      </c>
      <c r="C600" s="1">
        <f t="shared" si="51"/>
        <v>99840000</v>
      </c>
      <c r="D600" s="1">
        <v>28</v>
      </c>
      <c r="E600" s="1">
        <f t="shared" si="52"/>
        <v>1116350</v>
      </c>
      <c r="F600" s="1">
        <f t="shared" si="53"/>
        <v>415</v>
      </c>
      <c r="L600" s="1">
        <v>2690</v>
      </c>
    </row>
    <row r="601" spans="1:12" x14ac:dyDescent="0.25">
      <c r="A601" s="1">
        <f t="shared" si="49"/>
        <v>416.2078857421875</v>
      </c>
      <c r="B601" s="1">
        <f t="shared" si="50"/>
        <v>416207.8857421875</v>
      </c>
      <c r="C601" s="1">
        <f t="shared" si="51"/>
        <v>99840000</v>
      </c>
      <c r="D601" s="1">
        <v>28</v>
      </c>
      <c r="E601" s="1">
        <f t="shared" si="52"/>
        <v>1119040</v>
      </c>
      <c r="F601" s="1">
        <f t="shared" si="53"/>
        <v>416</v>
      </c>
      <c r="L601" s="1">
        <v>2690</v>
      </c>
    </row>
    <row r="602" spans="1:12" x14ac:dyDescent="0.25">
      <c r="A602" s="1">
        <f t="shared" si="49"/>
        <v>417.2083854675293</v>
      </c>
      <c r="B602" s="1">
        <f t="shared" si="50"/>
        <v>417208.3854675293</v>
      </c>
      <c r="C602" s="1">
        <f t="shared" si="51"/>
        <v>99840000</v>
      </c>
      <c r="D602" s="1">
        <v>28</v>
      </c>
      <c r="E602" s="1">
        <f t="shared" si="52"/>
        <v>1121730</v>
      </c>
      <c r="F602" s="1">
        <f t="shared" si="53"/>
        <v>417</v>
      </c>
      <c r="L602" s="1">
        <v>2690</v>
      </c>
    </row>
    <row r="603" spans="1:12" x14ac:dyDescent="0.25">
      <c r="A603" s="1">
        <f t="shared" si="49"/>
        <v>418.20888519287109</v>
      </c>
      <c r="B603" s="1">
        <f t="shared" si="50"/>
        <v>418208.88519287109</v>
      </c>
      <c r="C603" s="1">
        <f t="shared" si="51"/>
        <v>99840000</v>
      </c>
      <c r="D603" s="1">
        <v>28</v>
      </c>
      <c r="E603" s="1">
        <f t="shared" si="52"/>
        <v>1124420</v>
      </c>
      <c r="F603" s="1">
        <f t="shared" si="53"/>
        <v>418</v>
      </c>
      <c r="L603" s="1">
        <v>2690</v>
      </c>
    </row>
    <row r="604" spans="1:12" x14ac:dyDescent="0.25">
      <c r="A604" s="1">
        <f t="shared" si="49"/>
        <v>419.20938491821289</v>
      </c>
      <c r="B604" s="1">
        <f t="shared" si="50"/>
        <v>419209.38491821289</v>
      </c>
      <c r="C604" s="1">
        <f t="shared" si="51"/>
        <v>99840000</v>
      </c>
      <c r="D604" s="1">
        <v>28</v>
      </c>
      <c r="E604" s="1">
        <f t="shared" si="52"/>
        <v>1127110</v>
      </c>
      <c r="F604" s="1">
        <f t="shared" si="53"/>
        <v>419</v>
      </c>
      <c r="L604" s="1">
        <v>2690</v>
      </c>
    </row>
    <row r="605" spans="1:12" x14ac:dyDescent="0.25">
      <c r="A605" s="1">
        <f t="shared" si="49"/>
        <v>420.20988464355469</v>
      </c>
      <c r="B605" s="1">
        <f t="shared" si="50"/>
        <v>420209.88464355469</v>
      </c>
      <c r="C605" s="1">
        <f t="shared" si="51"/>
        <v>99840000</v>
      </c>
      <c r="D605" s="1">
        <v>28</v>
      </c>
      <c r="E605" s="1">
        <f t="shared" si="52"/>
        <v>1129800</v>
      </c>
      <c r="F605" s="1">
        <f t="shared" si="53"/>
        <v>420</v>
      </c>
      <c r="L605" s="1">
        <v>2690</v>
      </c>
    </row>
    <row r="606" spans="1:12" x14ac:dyDescent="0.25">
      <c r="A606" s="1">
        <f t="shared" si="49"/>
        <v>421.21038436889648</v>
      </c>
      <c r="B606" s="1">
        <f t="shared" si="50"/>
        <v>421210.38436889648</v>
      </c>
      <c r="C606" s="1">
        <f t="shared" si="51"/>
        <v>99840000</v>
      </c>
      <c r="D606" s="1">
        <v>28</v>
      </c>
      <c r="E606" s="1">
        <f t="shared" si="52"/>
        <v>1132490</v>
      </c>
      <c r="F606" s="1">
        <f t="shared" si="53"/>
        <v>421</v>
      </c>
      <c r="L606" s="1">
        <v>2690</v>
      </c>
    </row>
    <row r="607" spans="1:12" x14ac:dyDescent="0.25">
      <c r="A607" s="1">
        <f t="shared" si="49"/>
        <v>422.21088409423828</v>
      </c>
      <c r="B607" s="1">
        <f t="shared" si="50"/>
        <v>422210.88409423828</v>
      </c>
      <c r="C607" s="1">
        <f t="shared" si="51"/>
        <v>99840000</v>
      </c>
      <c r="D607" s="1">
        <v>28</v>
      </c>
      <c r="E607" s="1">
        <f t="shared" si="52"/>
        <v>1135180</v>
      </c>
      <c r="F607" s="1">
        <f t="shared" si="53"/>
        <v>422</v>
      </c>
      <c r="L607" s="1">
        <v>2690</v>
      </c>
    </row>
    <row r="608" spans="1:12" x14ac:dyDescent="0.25">
      <c r="A608" s="1">
        <f t="shared" si="49"/>
        <v>423.21138381958008</v>
      </c>
      <c r="B608" s="1">
        <f t="shared" si="50"/>
        <v>423211.38381958008</v>
      </c>
      <c r="C608" s="1">
        <f t="shared" si="51"/>
        <v>99840000</v>
      </c>
      <c r="D608" s="1">
        <v>28</v>
      </c>
      <c r="E608" s="1">
        <f t="shared" si="52"/>
        <v>1137870</v>
      </c>
      <c r="F608" s="1">
        <f t="shared" si="53"/>
        <v>423</v>
      </c>
      <c r="L608" s="1">
        <v>2690</v>
      </c>
    </row>
    <row r="609" spans="1:12" x14ac:dyDescent="0.25">
      <c r="A609" s="1">
        <f t="shared" si="49"/>
        <v>424.21188354492188</v>
      </c>
      <c r="B609" s="1">
        <f t="shared" si="50"/>
        <v>424211.88354492188</v>
      </c>
      <c r="C609" s="1">
        <f t="shared" si="51"/>
        <v>99840000</v>
      </c>
      <c r="D609" s="1">
        <v>28</v>
      </c>
      <c r="E609" s="1">
        <f t="shared" si="52"/>
        <v>1140560</v>
      </c>
      <c r="F609" s="1">
        <f t="shared" si="53"/>
        <v>424</v>
      </c>
      <c r="L609" s="1">
        <v>2690</v>
      </c>
    </row>
    <row r="610" spans="1:12" x14ac:dyDescent="0.25">
      <c r="A610" s="1">
        <f t="shared" si="49"/>
        <v>425.21238327026367</v>
      </c>
      <c r="B610" s="1">
        <f t="shared" si="50"/>
        <v>425212.38327026367</v>
      </c>
      <c r="C610" s="1">
        <f t="shared" si="51"/>
        <v>99840000</v>
      </c>
      <c r="D610" s="1">
        <v>28</v>
      </c>
      <c r="E610" s="1">
        <f t="shared" si="52"/>
        <v>1143250</v>
      </c>
      <c r="F610" s="1">
        <f t="shared" si="53"/>
        <v>425</v>
      </c>
      <c r="L610" s="1">
        <v>2690</v>
      </c>
    </row>
    <row r="611" spans="1:12" x14ac:dyDescent="0.25">
      <c r="A611" s="1">
        <f t="shared" si="49"/>
        <v>426.21288299560547</v>
      </c>
      <c r="B611" s="1">
        <f t="shared" si="50"/>
        <v>426212.88299560547</v>
      </c>
      <c r="C611" s="1">
        <f t="shared" si="51"/>
        <v>99840000</v>
      </c>
      <c r="D611" s="1">
        <v>28</v>
      </c>
      <c r="E611" s="1">
        <f t="shared" si="52"/>
        <v>1145940</v>
      </c>
      <c r="F611" s="1">
        <f t="shared" si="53"/>
        <v>426</v>
      </c>
      <c r="L611" s="1">
        <v>2690</v>
      </c>
    </row>
    <row r="612" spans="1:12" x14ac:dyDescent="0.25">
      <c r="A612" s="1">
        <f t="shared" si="49"/>
        <v>427.21338272094727</v>
      </c>
      <c r="B612" s="1">
        <f t="shared" si="50"/>
        <v>427213.38272094727</v>
      </c>
      <c r="C612" s="1">
        <f t="shared" si="51"/>
        <v>99840000</v>
      </c>
      <c r="D612" s="1">
        <v>28</v>
      </c>
      <c r="E612" s="1">
        <f t="shared" si="52"/>
        <v>1148630</v>
      </c>
      <c r="F612" s="1">
        <f t="shared" si="53"/>
        <v>427</v>
      </c>
      <c r="L612" s="1">
        <v>2690</v>
      </c>
    </row>
    <row r="613" spans="1:12" x14ac:dyDescent="0.25">
      <c r="A613" s="1">
        <f t="shared" si="49"/>
        <v>428.21388244628906</v>
      </c>
      <c r="B613" s="1">
        <f t="shared" si="50"/>
        <v>428213.88244628906</v>
      </c>
      <c r="C613" s="1">
        <f t="shared" si="51"/>
        <v>99840000</v>
      </c>
      <c r="D613" s="1">
        <v>28</v>
      </c>
      <c r="E613" s="1">
        <f t="shared" si="52"/>
        <v>1151320</v>
      </c>
      <c r="F613" s="1">
        <f t="shared" si="53"/>
        <v>428</v>
      </c>
      <c r="L613" s="1">
        <v>2690</v>
      </c>
    </row>
    <row r="614" spans="1:12" x14ac:dyDescent="0.25">
      <c r="A614" s="1">
        <f t="shared" si="49"/>
        <v>429.21438217163086</v>
      </c>
      <c r="B614" s="1">
        <f t="shared" si="50"/>
        <v>429214.38217163086</v>
      </c>
      <c r="C614" s="1">
        <f t="shared" si="51"/>
        <v>99840000</v>
      </c>
      <c r="D614" s="1">
        <v>28</v>
      </c>
      <c r="E614" s="1">
        <f t="shared" si="52"/>
        <v>1154010</v>
      </c>
      <c r="F614" s="1">
        <f t="shared" si="53"/>
        <v>429</v>
      </c>
      <c r="L614" s="1">
        <v>2690</v>
      </c>
    </row>
    <row r="615" spans="1:12" x14ac:dyDescent="0.25">
      <c r="A615" s="1">
        <f t="shared" si="49"/>
        <v>430.21488189697266</v>
      </c>
      <c r="B615" s="1">
        <f t="shared" si="50"/>
        <v>430214.88189697266</v>
      </c>
      <c r="C615" s="1">
        <f t="shared" si="51"/>
        <v>99840000</v>
      </c>
      <c r="D615" s="1">
        <v>28</v>
      </c>
      <c r="E615" s="1">
        <f t="shared" si="52"/>
        <v>1156700</v>
      </c>
      <c r="F615" s="1">
        <f t="shared" si="53"/>
        <v>430</v>
      </c>
      <c r="L615" s="1">
        <v>2690</v>
      </c>
    </row>
    <row r="616" spans="1:12" x14ac:dyDescent="0.25">
      <c r="A616" s="1">
        <f t="shared" si="49"/>
        <v>431.21538162231445</v>
      </c>
      <c r="B616" s="1">
        <f t="shared" si="50"/>
        <v>431215.38162231445</v>
      </c>
      <c r="C616" s="1">
        <f t="shared" si="51"/>
        <v>99840000</v>
      </c>
      <c r="D616" s="1">
        <v>28</v>
      </c>
      <c r="E616" s="1">
        <f t="shared" si="52"/>
        <v>1159390</v>
      </c>
      <c r="F616" s="1">
        <f t="shared" si="53"/>
        <v>431</v>
      </c>
      <c r="L616" s="1">
        <v>2690</v>
      </c>
    </row>
    <row r="617" spans="1:12" x14ac:dyDescent="0.25">
      <c r="A617" s="1">
        <f t="shared" si="49"/>
        <v>432.21588134765625</v>
      </c>
      <c r="B617" s="1">
        <f t="shared" si="50"/>
        <v>432215.88134765625</v>
      </c>
      <c r="C617" s="1">
        <f t="shared" si="51"/>
        <v>99840000</v>
      </c>
      <c r="D617" s="1">
        <v>28</v>
      </c>
      <c r="E617" s="1">
        <f t="shared" si="52"/>
        <v>1162080</v>
      </c>
      <c r="F617" s="1">
        <f t="shared" si="53"/>
        <v>432</v>
      </c>
      <c r="L617" s="1">
        <v>2690</v>
      </c>
    </row>
    <row r="618" spans="1:12" x14ac:dyDescent="0.25">
      <c r="A618" s="1">
        <f t="shared" si="49"/>
        <v>433.21638107299805</v>
      </c>
      <c r="B618" s="1">
        <f t="shared" si="50"/>
        <v>433216.38107299805</v>
      </c>
      <c r="C618" s="1">
        <f t="shared" si="51"/>
        <v>99840000</v>
      </c>
      <c r="D618" s="1">
        <v>28</v>
      </c>
      <c r="E618" s="1">
        <f t="shared" si="52"/>
        <v>1164770</v>
      </c>
      <c r="F618" s="1">
        <f t="shared" si="53"/>
        <v>433</v>
      </c>
      <c r="L618" s="1">
        <v>2690</v>
      </c>
    </row>
    <row r="619" spans="1:12" x14ac:dyDescent="0.25">
      <c r="A619" s="1">
        <f t="shared" si="49"/>
        <v>434.21688079833984</v>
      </c>
      <c r="B619" s="1">
        <f t="shared" si="50"/>
        <v>434216.88079833984</v>
      </c>
      <c r="C619" s="1">
        <f t="shared" si="51"/>
        <v>99840000</v>
      </c>
      <c r="D619" s="1">
        <v>28</v>
      </c>
      <c r="E619" s="1">
        <f t="shared" si="52"/>
        <v>1167460</v>
      </c>
      <c r="F619" s="1">
        <f t="shared" si="53"/>
        <v>434</v>
      </c>
      <c r="L619" s="1">
        <v>2690</v>
      </c>
    </row>
    <row r="620" spans="1:12" x14ac:dyDescent="0.25">
      <c r="A620" s="1">
        <f t="shared" si="49"/>
        <v>435.21738052368164</v>
      </c>
      <c r="B620" s="1">
        <f t="shared" si="50"/>
        <v>435217.38052368164</v>
      </c>
      <c r="C620" s="1">
        <f t="shared" si="51"/>
        <v>99840000</v>
      </c>
      <c r="D620" s="1">
        <v>28</v>
      </c>
      <c r="E620" s="1">
        <f t="shared" si="52"/>
        <v>1170150</v>
      </c>
      <c r="F620" s="1">
        <f t="shared" si="53"/>
        <v>435</v>
      </c>
      <c r="L620" s="1">
        <v>2690</v>
      </c>
    </row>
    <row r="621" spans="1:12" x14ac:dyDescent="0.25">
      <c r="A621" s="1">
        <f t="shared" si="49"/>
        <v>436.21788024902344</v>
      </c>
      <c r="B621" s="1">
        <f t="shared" si="50"/>
        <v>436217.88024902344</v>
      </c>
      <c r="C621" s="1">
        <f t="shared" si="51"/>
        <v>99840000</v>
      </c>
      <c r="D621" s="1">
        <v>28</v>
      </c>
      <c r="E621" s="1">
        <f t="shared" si="52"/>
        <v>1172840</v>
      </c>
      <c r="F621" s="1">
        <f t="shared" si="53"/>
        <v>436</v>
      </c>
      <c r="L621" s="1">
        <v>2690</v>
      </c>
    </row>
    <row r="622" spans="1:12" x14ac:dyDescent="0.25">
      <c r="A622" s="1">
        <f t="shared" si="49"/>
        <v>437.21837997436523</v>
      </c>
      <c r="B622" s="1">
        <f t="shared" si="50"/>
        <v>437218.37997436523</v>
      </c>
      <c r="C622" s="1">
        <f t="shared" si="51"/>
        <v>99840000</v>
      </c>
      <c r="D622" s="1">
        <v>28</v>
      </c>
      <c r="E622" s="1">
        <f t="shared" si="52"/>
        <v>1175530</v>
      </c>
      <c r="F622" s="1">
        <f t="shared" si="53"/>
        <v>437</v>
      </c>
      <c r="L622" s="1">
        <v>2690</v>
      </c>
    </row>
    <row r="623" spans="1:12" x14ac:dyDescent="0.25">
      <c r="A623" s="1">
        <f t="shared" si="49"/>
        <v>438.21887969970703</v>
      </c>
      <c r="B623" s="1">
        <f t="shared" si="50"/>
        <v>438218.87969970703</v>
      </c>
      <c r="C623" s="1">
        <f t="shared" si="51"/>
        <v>99840000</v>
      </c>
      <c r="D623" s="1">
        <v>28</v>
      </c>
      <c r="E623" s="1">
        <f t="shared" si="52"/>
        <v>1178220</v>
      </c>
      <c r="F623" s="1">
        <f t="shared" si="53"/>
        <v>438</v>
      </c>
      <c r="L623" s="1">
        <v>2690</v>
      </c>
    </row>
    <row r="624" spans="1:12" x14ac:dyDescent="0.25">
      <c r="A624" s="1">
        <f t="shared" si="49"/>
        <v>439.21937942504883</v>
      </c>
      <c r="B624" s="1">
        <f t="shared" si="50"/>
        <v>439219.37942504883</v>
      </c>
      <c r="C624" s="1">
        <f t="shared" si="51"/>
        <v>99840000</v>
      </c>
      <c r="D624" s="1">
        <v>28</v>
      </c>
      <c r="E624" s="1">
        <f t="shared" si="52"/>
        <v>1180910</v>
      </c>
      <c r="F624" s="1">
        <f t="shared" si="53"/>
        <v>439</v>
      </c>
      <c r="L624" s="1">
        <v>2690</v>
      </c>
    </row>
    <row r="625" spans="1:12" x14ac:dyDescent="0.25">
      <c r="A625" s="1">
        <f t="shared" si="49"/>
        <v>440.21987915039063</v>
      </c>
      <c r="B625" s="1">
        <f t="shared" si="50"/>
        <v>440219.87915039063</v>
      </c>
      <c r="C625" s="1">
        <f t="shared" si="51"/>
        <v>99840000</v>
      </c>
      <c r="D625" s="1">
        <v>28</v>
      </c>
      <c r="E625" s="1">
        <f t="shared" si="52"/>
        <v>1183600</v>
      </c>
      <c r="F625" s="1">
        <f t="shared" si="53"/>
        <v>440</v>
      </c>
      <c r="L625" s="1">
        <v>2690</v>
      </c>
    </row>
    <row r="626" spans="1:12" x14ac:dyDescent="0.25">
      <c r="A626" s="1">
        <f t="shared" si="49"/>
        <v>441.22037887573242</v>
      </c>
      <c r="B626" s="1">
        <f t="shared" si="50"/>
        <v>441220.37887573242</v>
      </c>
      <c r="C626" s="1">
        <f t="shared" si="51"/>
        <v>99840000</v>
      </c>
      <c r="D626" s="1">
        <v>28</v>
      </c>
      <c r="E626" s="1">
        <f t="shared" si="52"/>
        <v>1186290</v>
      </c>
      <c r="F626" s="1">
        <f t="shared" si="53"/>
        <v>441</v>
      </c>
      <c r="L626" s="1">
        <v>2690</v>
      </c>
    </row>
    <row r="627" spans="1:12" x14ac:dyDescent="0.25">
      <c r="A627" s="1">
        <f t="shared" si="49"/>
        <v>442.22087860107422</v>
      </c>
      <c r="B627" s="1">
        <f t="shared" si="50"/>
        <v>442220.87860107422</v>
      </c>
      <c r="C627" s="1">
        <f t="shared" si="51"/>
        <v>99840000</v>
      </c>
      <c r="D627" s="1">
        <v>28</v>
      </c>
      <c r="E627" s="1">
        <f t="shared" si="52"/>
        <v>1188980</v>
      </c>
      <c r="F627" s="1">
        <f t="shared" si="53"/>
        <v>442</v>
      </c>
      <c r="L627" s="1">
        <v>2690</v>
      </c>
    </row>
    <row r="628" spans="1:12" x14ac:dyDescent="0.25">
      <c r="A628" s="1">
        <f t="shared" si="49"/>
        <v>443.22137832641602</v>
      </c>
      <c r="B628" s="1">
        <f t="shared" si="50"/>
        <v>443221.37832641602</v>
      </c>
      <c r="C628" s="1">
        <f t="shared" si="51"/>
        <v>99840000</v>
      </c>
      <c r="D628" s="1">
        <v>28</v>
      </c>
      <c r="E628" s="1">
        <f t="shared" si="52"/>
        <v>1191670</v>
      </c>
      <c r="F628" s="1">
        <f t="shared" si="53"/>
        <v>443</v>
      </c>
      <c r="L628" s="1">
        <v>2690</v>
      </c>
    </row>
    <row r="629" spans="1:12" x14ac:dyDescent="0.25">
      <c r="A629" s="1">
        <f t="shared" si="49"/>
        <v>444.22187805175781</v>
      </c>
      <c r="B629" s="1">
        <f t="shared" si="50"/>
        <v>444221.87805175781</v>
      </c>
      <c r="C629" s="1">
        <f t="shared" si="51"/>
        <v>99840000</v>
      </c>
      <c r="D629" s="1">
        <v>28</v>
      </c>
      <c r="E629" s="1">
        <f t="shared" si="52"/>
        <v>1194360</v>
      </c>
      <c r="F629" s="1">
        <f t="shared" si="53"/>
        <v>444</v>
      </c>
      <c r="L629" s="1">
        <v>2690</v>
      </c>
    </row>
    <row r="630" spans="1:12" x14ac:dyDescent="0.25">
      <c r="A630" s="1">
        <f t="shared" si="49"/>
        <v>445.22237777709961</v>
      </c>
      <c r="B630" s="1">
        <f t="shared" si="50"/>
        <v>445222.37777709961</v>
      </c>
      <c r="C630" s="1">
        <f t="shared" si="51"/>
        <v>99840000</v>
      </c>
      <c r="D630" s="1">
        <v>28</v>
      </c>
      <c r="E630" s="1">
        <f t="shared" si="52"/>
        <v>1197050</v>
      </c>
      <c r="F630" s="1">
        <f t="shared" si="53"/>
        <v>445</v>
      </c>
      <c r="L630" s="1">
        <v>2690</v>
      </c>
    </row>
    <row r="631" spans="1:12" x14ac:dyDescent="0.25">
      <c r="A631" s="1">
        <f t="shared" si="49"/>
        <v>446.22287750244141</v>
      </c>
      <c r="B631" s="1">
        <f t="shared" si="50"/>
        <v>446222.87750244141</v>
      </c>
      <c r="C631" s="1">
        <f t="shared" si="51"/>
        <v>99840000</v>
      </c>
      <c r="D631" s="1">
        <v>28</v>
      </c>
      <c r="E631" s="1">
        <f t="shared" si="52"/>
        <v>1199740</v>
      </c>
      <c r="F631" s="1">
        <f t="shared" si="53"/>
        <v>446</v>
      </c>
      <c r="L631" s="1">
        <v>2690</v>
      </c>
    </row>
    <row r="632" spans="1:12" x14ac:dyDescent="0.25">
      <c r="A632" s="1">
        <f t="shared" si="49"/>
        <v>447.2233772277832</v>
      </c>
      <c r="B632" s="1">
        <f t="shared" si="50"/>
        <v>447223.3772277832</v>
      </c>
      <c r="C632" s="1">
        <f t="shared" si="51"/>
        <v>99840000</v>
      </c>
      <c r="D632" s="1">
        <v>28</v>
      </c>
      <c r="E632" s="1">
        <f t="shared" si="52"/>
        <v>1202430</v>
      </c>
      <c r="F632" s="1">
        <f t="shared" si="53"/>
        <v>447</v>
      </c>
      <c r="L632" s="1">
        <v>2690</v>
      </c>
    </row>
    <row r="633" spans="1:12" x14ac:dyDescent="0.25">
      <c r="A633" s="1">
        <f t="shared" si="49"/>
        <v>448.223876953125</v>
      </c>
      <c r="B633" s="1">
        <f t="shared" si="50"/>
        <v>448223.876953125</v>
      </c>
      <c r="C633" s="1">
        <f t="shared" si="51"/>
        <v>99840000</v>
      </c>
      <c r="D633" s="1">
        <v>28</v>
      </c>
      <c r="E633" s="1">
        <f t="shared" si="52"/>
        <v>1205120</v>
      </c>
      <c r="F633" s="1">
        <f t="shared" si="53"/>
        <v>448</v>
      </c>
      <c r="L633" s="1">
        <v>2690</v>
      </c>
    </row>
    <row r="634" spans="1:12" x14ac:dyDescent="0.25">
      <c r="A634" s="1">
        <f t="shared" si="49"/>
        <v>449.2243766784668</v>
      </c>
      <c r="B634" s="1">
        <f t="shared" si="50"/>
        <v>449224.3766784668</v>
      </c>
      <c r="C634" s="1">
        <f t="shared" si="51"/>
        <v>99840000</v>
      </c>
      <c r="D634" s="1">
        <v>28</v>
      </c>
      <c r="E634" s="1">
        <f t="shared" si="52"/>
        <v>1207810</v>
      </c>
      <c r="F634" s="1">
        <f t="shared" si="53"/>
        <v>449</v>
      </c>
      <c r="L634" s="1">
        <v>2690</v>
      </c>
    </row>
    <row r="635" spans="1:12" x14ac:dyDescent="0.25">
      <c r="A635" s="1">
        <f t="shared" ref="A635:A685" si="54">B635/10^3</f>
        <v>450.22487640380859</v>
      </c>
      <c r="B635" s="1">
        <f t="shared" ref="B635:B685" si="55">(E635/2^D635)*C635</f>
        <v>450224.87640380859</v>
      </c>
      <c r="C635" s="1">
        <f t="shared" ref="C635:C685" si="56">99.84*10^6</f>
        <v>99840000</v>
      </c>
      <c r="D635" s="1">
        <v>28</v>
      </c>
      <c r="E635" s="1">
        <f t="shared" ref="E635:E685" si="57">L635*F635</f>
        <v>1210500</v>
      </c>
      <c r="F635" s="1">
        <f t="shared" si="53"/>
        <v>450</v>
      </c>
      <c r="L635" s="1">
        <v>2690</v>
      </c>
    </row>
    <row r="636" spans="1:12" x14ac:dyDescent="0.25">
      <c r="A636" s="1">
        <f t="shared" si="54"/>
        <v>451.22537612915039</v>
      </c>
      <c r="B636" s="1">
        <f t="shared" si="55"/>
        <v>451225.37612915039</v>
      </c>
      <c r="C636" s="1">
        <f t="shared" si="56"/>
        <v>99840000</v>
      </c>
      <c r="D636" s="1">
        <v>28</v>
      </c>
      <c r="E636" s="1">
        <f t="shared" si="57"/>
        <v>1213190</v>
      </c>
      <c r="F636" s="1">
        <f t="shared" ref="F636:F685" si="58">F635+1</f>
        <v>451</v>
      </c>
      <c r="L636" s="1">
        <v>2690</v>
      </c>
    </row>
    <row r="637" spans="1:12" x14ac:dyDescent="0.25">
      <c r="A637" s="1">
        <f t="shared" si="54"/>
        <v>452.22587585449219</v>
      </c>
      <c r="B637" s="1">
        <f t="shared" si="55"/>
        <v>452225.87585449219</v>
      </c>
      <c r="C637" s="1">
        <f t="shared" si="56"/>
        <v>99840000</v>
      </c>
      <c r="D637" s="1">
        <v>28</v>
      </c>
      <c r="E637" s="1">
        <f t="shared" si="57"/>
        <v>1215880</v>
      </c>
      <c r="F637" s="1">
        <f t="shared" si="58"/>
        <v>452</v>
      </c>
      <c r="L637" s="1">
        <v>2690</v>
      </c>
    </row>
    <row r="638" spans="1:12" x14ac:dyDescent="0.25">
      <c r="A638" s="1">
        <f t="shared" si="54"/>
        <v>453.22637557983398</v>
      </c>
      <c r="B638" s="1">
        <f t="shared" si="55"/>
        <v>453226.37557983398</v>
      </c>
      <c r="C638" s="1">
        <f t="shared" si="56"/>
        <v>99840000</v>
      </c>
      <c r="D638" s="1">
        <v>28</v>
      </c>
      <c r="E638" s="1">
        <f t="shared" si="57"/>
        <v>1218570</v>
      </c>
      <c r="F638" s="1">
        <f t="shared" si="58"/>
        <v>453</v>
      </c>
      <c r="L638" s="1">
        <v>2690</v>
      </c>
    </row>
    <row r="639" spans="1:12" x14ac:dyDescent="0.25">
      <c r="A639" s="1">
        <f t="shared" si="54"/>
        <v>454.22687530517578</v>
      </c>
      <c r="B639" s="1">
        <f t="shared" si="55"/>
        <v>454226.87530517578</v>
      </c>
      <c r="C639" s="1">
        <f t="shared" si="56"/>
        <v>99840000</v>
      </c>
      <c r="D639" s="1">
        <v>28</v>
      </c>
      <c r="E639" s="1">
        <f t="shared" si="57"/>
        <v>1221260</v>
      </c>
      <c r="F639" s="1">
        <f t="shared" si="58"/>
        <v>454</v>
      </c>
      <c r="L639" s="1">
        <v>2690</v>
      </c>
    </row>
    <row r="640" spans="1:12" x14ac:dyDescent="0.25">
      <c r="A640" s="1">
        <f t="shared" si="54"/>
        <v>455.22737503051758</v>
      </c>
      <c r="B640" s="1">
        <f t="shared" si="55"/>
        <v>455227.37503051758</v>
      </c>
      <c r="C640" s="1">
        <f t="shared" si="56"/>
        <v>99840000</v>
      </c>
      <c r="D640" s="1">
        <v>28</v>
      </c>
      <c r="E640" s="1">
        <f t="shared" si="57"/>
        <v>1223950</v>
      </c>
      <c r="F640" s="1">
        <f t="shared" si="58"/>
        <v>455</v>
      </c>
      <c r="L640" s="1">
        <v>2690</v>
      </c>
    </row>
    <row r="641" spans="1:12" x14ac:dyDescent="0.25">
      <c r="A641" s="1">
        <f t="shared" si="54"/>
        <v>456.22787475585938</v>
      </c>
      <c r="B641" s="1">
        <f t="shared" si="55"/>
        <v>456227.87475585938</v>
      </c>
      <c r="C641" s="1">
        <f t="shared" si="56"/>
        <v>99840000</v>
      </c>
      <c r="D641" s="1">
        <v>28</v>
      </c>
      <c r="E641" s="1">
        <f t="shared" si="57"/>
        <v>1226640</v>
      </c>
      <c r="F641" s="1">
        <f t="shared" si="58"/>
        <v>456</v>
      </c>
      <c r="L641" s="1">
        <v>2690</v>
      </c>
    </row>
    <row r="642" spans="1:12" x14ac:dyDescent="0.25">
      <c r="A642" s="1">
        <f t="shared" si="54"/>
        <v>457.22837448120117</v>
      </c>
      <c r="B642" s="1">
        <f t="shared" si="55"/>
        <v>457228.37448120117</v>
      </c>
      <c r="C642" s="1">
        <f t="shared" si="56"/>
        <v>99840000</v>
      </c>
      <c r="D642" s="1">
        <v>28</v>
      </c>
      <c r="E642" s="1">
        <f t="shared" si="57"/>
        <v>1229330</v>
      </c>
      <c r="F642" s="1">
        <f t="shared" si="58"/>
        <v>457</v>
      </c>
      <c r="L642" s="1">
        <v>2690</v>
      </c>
    </row>
    <row r="643" spans="1:12" x14ac:dyDescent="0.25">
      <c r="A643" s="1">
        <f t="shared" si="54"/>
        <v>458.22887420654297</v>
      </c>
      <c r="B643" s="1">
        <f t="shared" si="55"/>
        <v>458228.87420654297</v>
      </c>
      <c r="C643" s="1">
        <f t="shared" si="56"/>
        <v>99840000</v>
      </c>
      <c r="D643" s="1">
        <v>28</v>
      </c>
      <c r="E643" s="1">
        <f t="shared" si="57"/>
        <v>1232020</v>
      </c>
      <c r="F643" s="1">
        <f t="shared" si="58"/>
        <v>458</v>
      </c>
      <c r="L643" s="1">
        <v>2690</v>
      </c>
    </row>
    <row r="644" spans="1:12" x14ac:dyDescent="0.25">
      <c r="A644" s="1">
        <f t="shared" si="54"/>
        <v>459.22937393188477</v>
      </c>
      <c r="B644" s="1">
        <f t="shared" si="55"/>
        <v>459229.37393188477</v>
      </c>
      <c r="C644" s="1">
        <f t="shared" si="56"/>
        <v>99840000</v>
      </c>
      <c r="D644" s="1">
        <v>28</v>
      </c>
      <c r="E644" s="1">
        <f t="shared" si="57"/>
        <v>1234710</v>
      </c>
      <c r="F644" s="1">
        <f t="shared" si="58"/>
        <v>459</v>
      </c>
      <c r="L644" s="1">
        <v>2690</v>
      </c>
    </row>
    <row r="645" spans="1:12" x14ac:dyDescent="0.25">
      <c r="A645" s="1">
        <f t="shared" si="54"/>
        <v>460.22987365722656</v>
      </c>
      <c r="B645" s="1">
        <f t="shared" si="55"/>
        <v>460229.87365722656</v>
      </c>
      <c r="C645" s="1">
        <f t="shared" si="56"/>
        <v>99840000</v>
      </c>
      <c r="D645" s="1">
        <v>28</v>
      </c>
      <c r="E645" s="1">
        <f t="shared" si="57"/>
        <v>1237400</v>
      </c>
      <c r="F645" s="1">
        <f t="shared" si="58"/>
        <v>460</v>
      </c>
      <c r="L645" s="1">
        <v>2690</v>
      </c>
    </row>
    <row r="646" spans="1:12" x14ac:dyDescent="0.25">
      <c r="A646" s="1">
        <f t="shared" si="54"/>
        <v>461.23037338256836</v>
      </c>
      <c r="B646" s="1">
        <f t="shared" si="55"/>
        <v>461230.37338256836</v>
      </c>
      <c r="C646" s="1">
        <f t="shared" si="56"/>
        <v>99840000</v>
      </c>
      <c r="D646" s="1">
        <v>28</v>
      </c>
      <c r="E646" s="1">
        <f t="shared" si="57"/>
        <v>1240090</v>
      </c>
      <c r="F646" s="1">
        <f t="shared" si="58"/>
        <v>461</v>
      </c>
      <c r="L646" s="1">
        <v>2690</v>
      </c>
    </row>
    <row r="647" spans="1:12" x14ac:dyDescent="0.25">
      <c r="A647" s="1">
        <f t="shared" si="54"/>
        <v>462.23087310791016</v>
      </c>
      <c r="B647" s="1">
        <f t="shared" si="55"/>
        <v>462230.87310791016</v>
      </c>
      <c r="C647" s="1">
        <f t="shared" si="56"/>
        <v>99840000</v>
      </c>
      <c r="D647" s="1">
        <v>28</v>
      </c>
      <c r="E647" s="1">
        <f t="shared" si="57"/>
        <v>1242780</v>
      </c>
      <c r="F647" s="1">
        <f t="shared" si="58"/>
        <v>462</v>
      </c>
      <c r="L647" s="1">
        <v>2690</v>
      </c>
    </row>
    <row r="648" spans="1:12" x14ac:dyDescent="0.25">
      <c r="A648" s="1">
        <f t="shared" si="54"/>
        <v>463.23137283325195</v>
      </c>
      <c r="B648" s="1">
        <f t="shared" si="55"/>
        <v>463231.37283325195</v>
      </c>
      <c r="C648" s="1">
        <f t="shared" si="56"/>
        <v>99840000</v>
      </c>
      <c r="D648" s="1">
        <v>28</v>
      </c>
      <c r="E648" s="1">
        <f t="shared" si="57"/>
        <v>1245470</v>
      </c>
      <c r="F648" s="1">
        <f t="shared" si="58"/>
        <v>463</v>
      </c>
      <c r="L648" s="1">
        <v>2690</v>
      </c>
    </row>
    <row r="649" spans="1:12" x14ac:dyDescent="0.25">
      <c r="A649" s="1">
        <f t="shared" si="54"/>
        <v>464.23187255859375</v>
      </c>
      <c r="B649" s="1">
        <f t="shared" si="55"/>
        <v>464231.87255859375</v>
      </c>
      <c r="C649" s="1">
        <f t="shared" si="56"/>
        <v>99840000</v>
      </c>
      <c r="D649" s="1">
        <v>28</v>
      </c>
      <c r="E649" s="1">
        <f t="shared" si="57"/>
        <v>1248160</v>
      </c>
      <c r="F649" s="1">
        <f t="shared" si="58"/>
        <v>464</v>
      </c>
      <c r="L649" s="1">
        <v>2690</v>
      </c>
    </row>
    <row r="650" spans="1:12" x14ac:dyDescent="0.25">
      <c r="A650" s="1">
        <f t="shared" si="54"/>
        <v>465.23237228393555</v>
      </c>
      <c r="B650" s="1">
        <f t="shared" si="55"/>
        <v>465232.37228393555</v>
      </c>
      <c r="C650" s="1">
        <f t="shared" si="56"/>
        <v>99840000</v>
      </c>
      <c r="D650" s="1">
        <v>28</v>
      </c>
      <c r="E650" s="1">
        <f t="shared" si="57"/>
        <v>1250850</v>
      </c>
      <c r="F650" s="1">
        <f t="shared" si="58"/>
        <v>465</v>
      </c>
      <c r="L650" s="1">
        <v>2690</v>
      </c>
    </row>
    <row r="651" spans="1:12" x14ac:dyDescent="0.25">
      <c r="A651" s="1">
        <f t="shared" si="54"/>
        <v>466.23287200927734</v>
      </c>
      <c r="B651" s="1">
        <f t="shared" si="55"/>
        <v>466232.87200927734</v>
      </c>
      <c r="C651" s="1">
        <f t="shared" si="56"/>
        <v>99840000</v>
      </c>
      <c r="D651" s="1">
        <v>28</v>
      </c>
      <c r="E651" s="1">
        <f t="shared" si="57"/>
        <v>1253540</v>
      </c>
      <c r="F651" s="1">
        <f t="shared" si="58"/>
        <v>466</v>
      </c>
      <c r="L651" s="1">
        <v>2690</v>
      </c>
    </row>
    <row r="652" spans="1:12" x14ac:dyDescent="0.25">
      <c r="A652" s="1">
        <f t="shared" si="54"/>
        <v>467.23337173461914</v>
      </c>
      <c r="B652" s="1">
        <f t="shared" si="55"/>
        <v>467233.37173461914</v>
      </c>
      <c r="C652" s="1">
        <f t="shared" si="56"/>
        <v>99840000</v>
      </c>
      <c r="D652" s="1">
        <v>28</v>
      </c>
      <c r="E652" s="1">
        <f t="shared" si="57"/>
        <v>1256230</v>
      </c>
      <c r="F652" s="1">
        <f t="shared" si="58"/>
        <v>467</v>
      </c>
      <c r="L652" s="1">
        <v>2690</v>
      </c>
    </row>
    <row r="653" spans="1:12" x14ac:dyDescent="0.25">
      <c r="A653" s="1">
        <f t="shared" si="54"/>
        <v>468.23387145996094</v>
      </c>
      <c r="B653" s="1">
        <f t="shared" si="55"/>
        <v>468233.87145996094</v>
      </c>
      <c r="C653" s="1">
        <f t="shared" si="56"/>
        <v>99840000</v>
      </c>
      <c r="D653" s="1">
        <v>28</v>
      </c>
      <c r="E653" s="1">
        <f t="shared" si="57"/>
        <v>1258920</v>
      </c>
      <c r="F653" s="1">
        <f t="shared" si="58"/>
        <v>468</v>
      </c>
      <c r="L653" s="1">
        <v>2690</v>
      </c>
    </row>
    <row r="654" spans="1:12" x14ac:dyDescent="0.25">
      <c r="A654" s="1">
        <f t="shared" si="54"/>
        <v>469.23437118530273</v>
      </c>
      <c r="B654" s="1">
        <f t="shared" si="55"/>
        <v>469234.37118530273</v>
      </c>
      <c r="C654" s="1">
        <f t="shared" si="56"/>
        <v>99840000</v>
      </c>
      <c r="D654" s="1">
        <v>28</v>
      </c>
      <c r="E654" s="1">
        <f t="shared" si="57"/>
        <v>1261610</v>
      </c>
      <c r="F654" s="1">
        <f t="shared" si="58"/>
        <v>469</v>
      </c>
      <c r="L654" s="1">
        <v>2690</v>
      </c>
    </row>
    <row r="655" spans="1:12" x14ac:dyDescent="0.25">
      <c r="A655" s="1">
        <f t="shared" si="54"/>
        <v>470.23487091064453</v>
      </c>
      <c r="B655" s="1">
        <f t="shared" si="55"/>
        <v>470234.87091064453</v>
      </c>
      <c r="C655" s="1">
        <f t="shared" si="56"/>
        <v>99840000</v>
      </c>
      <c r="D655" s="1">
        <v>28</v>
      </c>
      <c r="E655" s="1">
        <f t="shared" si="57"/>
        <v>1264300</v>
      </c>
      <c r="F655" s="1">
        <f t="shared" si="58"/>
        <v>470</v>
      </c>
      <c r="L655" s="1">
        <v>2690</v>
      </c>
    </row>
    <row r="656" spans="1:12" x14ac:dyDescent="0.25">
      <c r="A656" s="1">
        <f t="shared" si="54"/>
        <v>471.23537063598633</v>
      </c>
      <c r="B656" s="1">
        <f t="shared" si="55"/>
        <v>471235.37063598633</v>
      </c>
      <c r="C656" s="1">
        <f t="shared" si="56"/>
        <v>99840000</v>
      </c>
      <c r="D656" s="1">
        <v>28</v>
      </c>
      <c r="E656" s="1">
        <f t="shared" si="57"/>
        <v>1266990</v>
      </c>
      <c r="F656" s="1">
        <f t="shared" si="58"/>
        <v>471</v>
      </c>
      <c r="L656" s="1">
        <v>2690</v>
      </c>
    </row>
    <row r="657" spans="1:12" x14ac:dyDescent="0.25">
      <c r="A657" s="1">
        <f t="shared" si="54"/>
        <v>472.23587036132813</v>
      </c>
      <c r="B657" s="1">
        <f t="shared" si="55"/>
        <v>472235.87036132813</v>
      </c>
      <c r="C657" s="1">
        <f t="shared" si="56"/>
        <v>99840000</v>
      </c>
      <c r="D657" s="1">
        <v>28</v>
      </c>
      <c r="E657" s="1">
        <f t="shared" si="57"/>
        <v>1269680</v>
      </c>
      <c r="F657" s="1">
        <f t="shared" si="58"/>
        <v>472</v>
      </c>
      <c r="L657" s="1">
        <v>2690</v>
      </c>
    </row>
    <row r="658" spans="1:12" x14ac:dyDescent="0.25">
      <c r="A658" s="1">
        <f t="shared" si="54"/>
        <v>473.23637008666992</v>
      </c>
      <c r="B658" s="1">
        <f t="shared" si="55"/>
        <v>473236.37008666992</v>
      </c>
      <c r="C658" s="1">
        <f t="shared" si="56"/>
        <v>99840000</v>
      </c>
      <c r="D658" s="1">
        <v>28</v>
      </c>
      <c r="E658" s="1">
        <f t="shared" si="57"/>
        <v>1272370</v>
      </c>
      <c r="F658" s="1">
        <f t="shared" si="58"/>
        <v>473</v>
      </c>
      <c r="L658" s="1">
        <v>2690</v>
      </c>
    </row>
    <row r="659" spans="1:12" x14ac:dyDescent="0.25">
      <c r="A659" s="1">
        <f t="shared" si="54"/>
        <v>474.23686981201172</v>
      </c>
      <c r="B659" s="1">
        <f t="shared" si="55"/>
        <v>474236.86981201172</v>
      </c>
      <c r="C659" s="1">
        <f t="shared" si="56"/>
        <v>99840000</v>
      </c>
      <c r="D659" s="1">
        <v>28</v>
      </c>
      <c r="E659" s="1">
        <f t="shared" si="57"/>
        <v>1275060</v>
      </c>
      <c r="F659" s="1">
        <f t="shared" si="58"/>
        <v>474</v>
      </c>
      <c r="L659" s="1">
        <v>2690</v>
      </c>
    </row>
    <row r="660" spans="1:12" x14ac:dyDescent="0.25">
      <c r="A660" s="1">
        <f t="shared" si="54"/>
        <v>475.23736953735352</v>
      </c>
      <c r="B660" s="1">
        <f t="shared" si="55"/>
        <v>475237.36953735352</v>
      </c>
      <c r="C660" s="1">
        <f t="shared" si="56"/>
        <v>99840000</v>
      </c>
      <c r="D660" s="1">
        <v>28</v>
      </c>
      <c r="E660" s="1">
        <f t="shared" si="57"/>
        <v>1277750</v>
      </c>
      <c r="F660" s="1">
        <f t="shared" si="58"/>
        <v>475</v>
      </c>
      <c r="L660" s="1">
        <v>2690</v>
      </c>
    </row>
    <row r="661" spans="1:12" x14ac:dyDescent="0.25">
      <c r="A661" s="1">
        <f t="shared" si="54"/>
        <v>476.23786926269531</v>
      </c>
      <c r="B661" s="1">
        <f t="shared" si="55"/>
        <v>476237.86926269531</v>
      </c>
      <c r="C661" s="1">
        <f t="shared" si="56"/>
        <v>99840000</v>
      </c>
      <c r="D661" s="1">
        <v>28</v>
      </c>
      <c r="E661" s="1">
        <f t="shared" si="57"/>
        <v>1280440</v>
      </c>
      <c r="F661" s="1">
        <f t="shared" si="58"/>
        <v>476</v>
      </c>
      <c r="L661" s="1">
        <v>2690</v>
      </c>
    </row>
    <row r="662" spans="1:12" x14ac:dyDescent="0.25">
      <c r="A662" s="1">
        <f t="shared" si="54"/>
        <v>477.23836898803711</v>
      </c>
      <c r="B662" s="1">
        <f t="shared" si="55"/>
        <v>477238.36898803711</v>
      </c>
      <c r="C662" s="1">
        <f t="shared" si="56"/>
        <v>99840000</v>
      </c>
      <c r="D662" s="1">
        <v>28</v>
      </c>
      <c r="E662" s="1">
        <f t="shared" si="57"/>
        <v>1283130</v>
      </c>
      <c r="F662" s="1">
        <f t="shared" si="58"/>
        <v>477</v>
      </c>
      <c r="L662" s="1">
        <v>2690</v>
      </c>
    </row>
    <row r="663" spans="1:12" x14ac:dyDescent="0.25">
      <c r="A663" s="1">
        <f t="shared" si="54"/>
        <v>478.23886871337891</v>
      </c>
      <c r="B663" s="1">
        <f t="shared" si="55"/>
        <v>478238.86871337891</v>
      </c>
      <c r="C663" s="1">
        <f t="shared" si="56"/>
        <v>99840000</v>
      </c>
      <c r="D663" s="1">
        <v>28</v>
      </c>
      <c r="E663" s="1">
        <f t="shared" si="57"/>
        <v>1285820</v>
      </c>
      <c r="F663" s="1">
        <f t="shared" si="58"/>
        <v>478</v>
      </c>
      <c r="L663" s="1">
        <v>2690</v>
      </c>
    </row>
    <row r="664" spans="1:12" x14ac:dyDescent="0.25">
      <c r="A664" s="1">
        <f t="shared" si="54"/>
        <v>479.2393684387207</v>
      </c>
      <c r="B664" s="1">
        <f t="shared" si="55"/>
        <v>479239.3684387207</v>
      </c>
      <c r="C664" s="1">
        <f t="shared" si="56"/>
        <v>99840000</v>
      </c>
      <c r="D664" s="1">
        <v>28</v>
      </c>
      <c r="E664" s="1">
        <f t="shared" si="57"/>
        <v>1288510</v>
      </c>
      <c r="F664" s="1">
        <f t="shared" si="58"/>
        <v>479</v>
      </c>
      <c r="L664" s="1">
        <v>2690</v>
      </c>
    </row>
    <row r="665" spans="1:12" x14ac:dyDescent="0.25">
      <c r="A665" s="1">
        <f t="shared" si="54"/>
        <v>480.2398681640625</v>
      </c>
      <c r="B665" s="1">
        <f t="shared" si="55"/>
        <v>480239.8681640625</v>
      </c>
      <c r="C665" s="1">
        <f t="shared" si="56"/>
        <v>99840000</v>
      </c>
      <c r="D665" s="1">
        <v>28</v>
      </c>
      <c r="E665" s="1">
        <f t="shared" si="57"/>
        <v>1291200</v>
      </c>
      <c r="F665" s="1">
        <f t="shared" si="58"/>
        <v>480</v>
      </c>
      <c r="L665" s="1">
        <v>2690</v>
      </c>
    </row>
    <row r="666" spans="1:12" x14ac:dyDescent="0.25">
      <c r="A666" s="1">
        <f t="shared" si="54"/>
        <v>481.2403678894043</v>
      </c>
      <c r="B666" s="1">
        <f t="shared" si="55"/>
        <v>481240.3678894043</v>
      </c>
      <c r="C666" s="1">
        <f t="shared" si="56"/>
        <v>99840000</v>
      </c>
      <c r="D666" s="1">
        <v>28</v>
      </c>
      <c r="E666" s="1">
        <f t="shared" si="57"/>
        <v>1293890</v>
      </c>
      <c r="F666" s="1">
        <f t="shared" si="58"/>
        <v>481</v>
      </c>
      <c r="L666" s="1">
        <v>2690</v>
      </c>
    </row>
    <row r="667" spans="1:12" x14ac:dyDescent="0.25">
      <c r="A667" s="1">
        <f t="shared" si="54"/>
        <v>482.24086761474609</v>
      </c>
      <c r="B667" s="1">
        <f t="shared" si="55"/>
        <v>482240.86761474609</v>
      </c>
      <c r="C667" s="1">
        <f t="shared" si="56"/>
        <v>99840000</v>
      </c>
      <c r="D667" s="1">
        <v>28</v>
      </c>
      <c r="E667" s="1">
        <f t="shared" si="57"/>
        <v>1296580</v>
      </c>
      <c r="F667" s="1">
        <f t="shared" si="58"/>
        <v>482</v>
      </c>
      <c r="L667" s="1">
        <v>2690</v>
      </c>
    </row>
    <row r="668" spans="1:12" x14ac:dyDescent="0.25">
      <c r="A668" s="1">
        <f t="shared" si="54"/>
        <v>483.24136734008789</v>
      </c>
      <c r="B668" s="1">
        <f t="shared" si="55"/>
        <v>483241.36734008789</v>
      </c>
      <c r="C668" s="1">
        <f t="shared" si="56"/>
        <v>99840000</v>
      </c>
      <c r="D668" s="1">
        <v>28</v>
      </c>
      <c r="E668" s="1">
        <f t="shared" si="57"/>
        <v>1299270</v>
      </c>
      <c r="F668" s="1">
        <f t="shared" si="58"/>
        <v>483</v>
      </c>
      <c r="L668" s="1">
        <v>2690</v>
      </c>
    </row>
    <row r="669" spans="1:12" x14ac:dyDescent="0.25">
      <c r="A669" s="1">
        <f t="shared" si="54"/>
        <v>484.24186706542969</v>
      </c>
      <c r="B669" s="1">
        <f t="shared" si="55"/>
        <v>484241.86706542969</v>
      </c>
      <c r="C669" s="1">
        <f t="shared" si="56"/>
        <v>99840000</v>
      </c>
      <c r="D669" s="1">
        <v>28</v>
      </c>
      <c r="E669" s="1">
        <f t="shared" si="57"/>
        <v>1301960</v>
      </c>
      <c r="F669" s="1">
        <f t="shared" si="58"/>
        <v>484</v>
      </c>
      <c r="L669" s="1">
        <v>2690</v>
      </c>
    </row>
    <row r="670" spans="1:12" x14ac:dyDescent="0.25">
      <c r="A670" s="1">
        <f t="shared" si="54"/>
        <v>485.24236679077148</v>
      </c>
      <c r="B670" s="1">
        <f t="shared" si="55"/>
        <v>485242.36679077148</v>
      </c>
      <c r="C670" s="1">
        <f t="shared" si="56"/>
        <v>99840000</v>
      </c>
      <c r="D670" s="1">
        <v>28</v>
      </c>
      <c r="E670" s="1">
        <f t="shared" si="57"/>
        <v>1304650</v>
      </c>
      <c r="F670" s="1">
        <f t="shared" si="58"/>
        <v>485</v>
      </c>
      <c r="L670" s="1">
        <v>2690</v>
      </c>
    </row>
    <row r="671" spans="1:12" x14ac:dyDescent="0.25">
      <c r="A671" s="1">
        <f t="shared" si="54"/>
        <v>486.24286651611328</v>
      </c>
      <c r="B671" s="1">
        <f t="shared" si="55"/>
        <v>486242.86651611328</v>
      </c>
      <c r="C671" s="1">
        <f t="shared" si="56"/>
        <v>99840000</v>
      </c>
      <c r="D671" s="1">
        <v>28</v>
      </c>
      <c r="E671" s="1">
        <f t="shared" si="57"/>
        <v>1307340</v>
      </c>
      <c r="F671" s="1">
        <f t="shared" si="58"/>
        <v>486</v>
      </c>
      <c r="L671" s="1">
        <v>2690</v>
      </c>
    </row>
    <row r="672" spans="1:12" x14ac:dyDescent="0.25">
      <c r="A672" s="1">
        <f t="shared" si="54"/>
        <v>487.24336624145508</v>
      </c>
      <c r="B672" s="1">
        <f t="shared" si="55"/>
        <v>487243.36624145508</v>
      </c>
      <c r="C672" s="1">
        <f t="shared" si="56"/>
        <v>99840000</v>
      </c>
      <c r="D672" s="1">
        <v>28</v>
      </c>
      <c r="E672" s="1">
        <f t="shared" si="57"/>
        <v>1310030</v>
      </c>
      <c r="F672" s="1">
        <f t="shared" si="58"/>
        <v>487</v>
      </c>
      <c r="L672" s="1">
        <v>2690</v>
      </c>
    </row>
    <row r="673" spans="1:12" x14ac:dyDescent="0.25">
      <c r="A673" s="1">
        <f t="shared" si="54"/>
        <v>488.24386596679688</v>
      </c>
      <c r="B673" s="1">
        <f t="shared" si="55"/>
        <v>488243.86596679688</v>
      </c>
      <c r="C673" s="1">
        <f t="shared" si="56"/>
        <v>99840000</v>
      </c>
      <c r="D673" s="1">
        <v>28</v>
      </c>
      <c r="E673" s="1">
        <f t="shared" si="57"/>
        <v>1312720</v>
      </c>
      <c r="F673" s="1">
        <f t="shared" si="58"/>
        <v>488</v>
      </c>
      <c r="L673" s="1">
        <v>2690</v>
      </c>
    </row>
    <row r="674" spans="1:12" x14ac:dyDescent="0.25">
      <c r="A674" s="1">
        <f t="shared" si="54"/>
        <v>489.24436569213867</v>
      </c>
      <c r="B674" s="1">
        <f t="shared" si="55"/>
        <v>489244.36569213867</v>
      </c>
      <c r="C674" s="1">
        <f t="shared" si="56"/>
        <v>99840000</v>
      </c>
      <c r="D674" s="1">
        <v>28</v>
      </c>
      <c r="E674" s="1">
        <f t="shared" si="57"/>
        <v>1315410</v>
      </c>
      <c r="F674" s="1">
        <f t="shared" si="58"/>
        <v>489</v>
      </c>
      <c r="L674" s="1">
        <v>2690</v>
      </c>
    </row>
    <row r="675" spans="1:12" x14ac:dyDescent="0.25">
      <c r="A675" s="1">
        <f t="shared" si="54"/>
        <v>490.24486541748047</v>
      </c>
      <c r="B675" s="1">
        <f t="shared" si="55"/>
        <v>490244.86541748047</v>
      </c>
      <c r="C675" s="1">
        <f t="shared" si="56"/>
        <v>99840000</v>
      </c>
      <c r="D675" s="1">
        <v>28</v>
      </c>
      <c r="E675" s="1">
        <f t="shared" si="57"/>
        <v>1318100</v>
      </c>
      <c r="F675" s="1">
        <f t="shared" si="58"/>
        <v>490</v>
      </c>
      <c r="L675" s="1">
        <v>2690</v>
      </c>
    </row>
    <row r="676" spans="1:12" x14ac:dyDescent="0.25">
      <c r="A676" s="1">
        <f t="shared" si="54"/>
        <v>491.24536514282227</v>
      </c>
      <c r="B676" s="1">
        <f t="shared" si="55"/>
        <v>491245.36514282227</v>
      </c>
      <c r="C676" s="1">
        <f t="shared" si="56"/>
        <v>99840000</v>
      </c>
      <c r="D676" s="1">
        <v>28</v>
      </c>
      <c r="E676" s="1">
        <f t="shared" si="57"/>
        <v>1320790</v>
      </c>
      <c r="F676" s="1">
        <f t="shared" si="58"/>
        <v>491</v>
      </c>
      <c r="L676" s="1">
        <v>2690</v>
      </c>
    </row>
    <row r="677" spans="1:12" x14ac:dyDescent="0.25">
      <c r="A677" s="1">
        <f t="shared" si="54"/>
        <v>492.24586486816406</v>
      </c>
      <c r="B677" s="1">
        <f t="shared" si="55"/>
        <v>492245.86486816406</v>
      </c>
      <c r="C677" s="1">
        <f t="shared" si="56"/>
        <v>99840000</v>
      </c>
      <c r="D677" s="1">
        <v>28</v>
      </c>
      <c r="E677" s="1">
        <f t="shared" si="57"/>
        <v>1323480</v>
      </c>
      <c r="F677" s="1">
        <f t="shared" si="58"/>
        <v>492</v>
      </c>
      <c r="L677" s="1">
        <v>2690</v>
      </c>
    </row>
    <row r="678" spans="1:12" x14ac:dyDescent="0.25">
      <c r="A678" s="1">
        <f t="shared" si="54"/>
        <v>493.24636459350586</v>
      </c>
      <c r="B678" s="1">
        <f t="shared" si="55"/>
        <v>493246.36459350586</v>
      </c>
      <c r="C678" s="1">
        <f t="shared" si="56"/>
        <v>99840000</v>
      </c>
      <c r="D678" s="1">
        <v>28</v>
      </c>
      <c r="E678" s="1">
        <f t="shared" si="57"/>
        <v>1326170</v>
      </c>
      <c r="F678" s="1">
        <f t="shared" si="58"/>
        <v>493</v>
      </c>
      <c r="L678" s="1">
        <v>2690</v>
      </c>
    </row>
    <row r="679" spans="1:12" x14ac:dyDescent="0.25">
      <c r="A679" s="1">
        <f t="shared" si="54"/>
        <v>494.24686431884766</v>
      </c>
      <c r="B679" s="1">
        <f t="shared" si="55"/>
        <v>494246.86431884766</v>
      </c>
      <c r="C679" s="1">
        <f t="shared" si="56"/>
        <v>99840000</v>
      </c>
      <c r="D679" s="1">
        <v>28</v>
      </c>
      <c r="E679" s="1">
        <f t="shared" si="57"/>
        <v>1328860</v>
      </c>
      <c r="F679" s="1">
        <f t="shared" si="58"/>
        <v>494</v>
      </c>
      <c r="L679" s="1">
        <v>2690</v>
      </c>
    </row>
    <row r="680" spans="1:12" x14ac:dyDescent="0.25">
      <c r="A680" s="1">
        <f t="shared" si="54"/>
        <v>495.24736404418945</v>
      </c>
      <c r="B680" s="1">
        <f t="shared" si="55"/>
        <v>495247.36404418945</v>
      </c>
      <c r="C680" s="1">
        <f t="shared" si="56"/>
        <v>99840000</v>
      </c>
      <c r="D680" s="1">
        <v>28</v>
      </c>
      <c r="E680" s="1">
        <f t="shared" si="57"/>
        <v>1331550</v>
      </c>
      <c r="F680" s="1">
        <f t="shared" si="58"/>
        <v>495</v>
      </c>
      <c r="L680" s="1">
        <v>2690</v>
      </c>
    </row>
    <row r="681" spans="1:12" x14ac:dyDescent="0.25">
      <c r="A681" s="1">
        <f t="shared" si="54"/>
        <v>496.24786376953125</v>
      </c>
      <c r="B681" s="1">
        <f t="shared" si="55"/>
        <v>496247.86376953125</v>
      </c>
      <c r="C681" s="1">
        <f t="shared" si="56"/>
        <v>99840000</v>
      </c>
      <c r="D681" s="1">
        <v>28</v>
      </c>
      <c r="E681" s="1">
        <f t="shared" si="57"/>
        <v>1334240</v>
      </c>
      <c r="F681" s="1">
        <f t="shared" si="58"/>
        <v>496</v>
      </c>
      <c r="L681" s="1">
        <v>2690</v>
      </c>
    </row>
    <row r="682" spans="1:12" x14ac:dyDescent="0.25">
      <c r="A682" s="1">
        <f t="shared" si="54"/>
        <v>497.24836349487305</v>
      </c>
      <c r="B682" s="1">
        <f t="shared" si="55"/>
        <v>497248.36349487305</v>
      </c>
      <c r="C682" s="1">
        <f t="shared" si="56"/>
        <v>99840000</v>
      </c>
      <c r="D682" s="1">
        <v>28</v>
      </c>
      <c r="E682" s="1">
        <f t="shared" si="57"/>
        <v>1336930</v>
      </c>
      <c r="F682" s="1">
        <f t="shared" si="58"/>
        <v>497</v>
      </c>
      <c r="L682" s="1">
        <v>2690</v>
      </c>
    </row>
    <row r="683" spans="1:12" x14ac:dyDescent="0.25">
      <c r="A683" s="1">
        <f t="shared" si="54"/>
        <v>498.24886322021484</v>
      </c>
      <c r="B683" s="1">
        <f t="shared" si="55"/>
        <v>498248.86322021484</v>
      </c>
      <c r="C683" s="1">
        <f t="shared" si="56"/>
        <v>99840000</v>
      </c>
      <c r="D683" s="1">
        <v>28</v>
      </c>
      <c r="E683" s="1">
        <f t="shared" si="57"/>
        <v>1339620</v>
      </c>
      <c r="F683" s="1">
        <f t="shared" si="58"/>
        <v>498</v>
      </c>
      <c r="L683" s="1">
        <v>2690</v>
      </c>
    </row>
    <row r="684" spans="1:12" x14ac:dyDescent="0.25">
      <c r="A684" s="1">
        <f t="shared" si="54"/>
        <v>499.24936294555664</v>
      </c>
      <c r="B684" s="1">
        <f t="shared" si="55"/>
        <v>499249.36294555664</v>
      </c>
      <c r="C684" s="1">
        <f t="shared" si="56"/>
        <v>99840000</v>
      </c>
      <c r="D684" s="1">
        <v>28</v>
      </c>
      <c r="E684" s="1">
        <f t="shared" si="57"/>
        <v>1342310</v>
      </c>
      <c r="F684" s="1">
        <f t="shared" si="58"/>
        <v>499</v>
      </c>
      <c r="L684" s="1">
        <v>2690</v>
      </c>
    </row>
    <row r="685" spans="1:12" x14ac:dyDescent="0.25">
      <c r="A685" s="1">
        <f t="shared" si="54"/>
        <v>500.24986267089844</v>
      </c>
      <c r="B685" s="1">
        <f t="shared" si="55"/>
        <v>500249.86267089844</v>
      </c>
      <c r="C685" s="1">
        <f t="shared" si="56"/>
        <v>99840000</v>
      </c>
      <c r="D685" s="1">
        <v>28</v>
      </c>
      <c r="E685" s="1">
        <f t="shared" si="57"/>
        <v>1345000</v>
      </c>
      <c r="F685" s="1">
        <f t="shared" si="58"/>
        <v>500</v>
      </c>
      <c r="L685" s="1">
        <v>2690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5FC9-0B15-44D0-924C-3467E7BF405F}">
  <dimension ref="A1:E83"/>
  <sheetViews>
    <sheetView tabSelected="1" topLeftCell="A65" workbookViewId="0">
      <selection activeCell="H74" sqref="H74"/>
    </sheetView>
  </sheetViews>
  <sheetFormatPr defaultRowHeight="15" x14ac:dyDescent="0.25"/>
  <cols>
    <col min="1" max="1" width="27.85546875" style="10" customWidth="1"/>
    <col min="2" max="2" width="23.140625" customWidth="1"/>
    <col min="5" max="5" width="28.5703125" customWidth="1"/>
  </cols>
  <sheetData>
    <row r="1" spans="1:5" x14ac:dyDescent="0.25">
      <c r="A1" s="10">
        <v>-9.6786217357096901E-4</v>
      </c>
      <c r="B1">
        <f>A1*2^24</f>
        <v>-16238.032744229638</v>
      </c>
      <c r="C1">
        <f>ROUND(B1,0)</f>
        <v>-16238</v>
      </c>
      <c r="D1" t="str">
        <f>C1&amp;","</f>
        <v>-16238,</v>
      </c>
      <c r="E1" t="str">
        <f>A1&amp;","</f>
        <v>-0.000967862173570969,</v>
      </c>
    </row>
    <row r="2" spans="1:5" x14ac:dyDescent="0.25">
      <c r="A2" s="10">
        <v>-4.8113364752870003E-5</v>
      </c>
      <c r="B2">
        <f t="shared" ref="B2:B65" si="0">A2*2^24</f>
        <v>-807.20831294568666</v>
      </c>
      <c r="C2">
        <f>ROUND(B2,0)</f>
        <v>-807</v>
      </c>
      <c r="D2" t="str">
        <f t="shared" ref="D2:D65" si="1">C2&amp;","</f>
        <v>-807,</v>
      </c>
      <c r="E2" t="str">
        <f t="shared" ref="E2:E65" si="2">A2&amp;","</f>
        <v>-0.00004811336475287,</v>
      </c>
    </row>
    <row r="3" spans="1:5" x14ac:dyDescent="0.25">
      <c r="A3" s="11">
        <v>-4.6623486493249201E-6</v>
      </c>
      <c r="B3">
        <f t="shared" si="0"/>
        <v>-78.221230357032439</v>
      </c>
      <c r="C3">
        <f>ROUND(B3,0)</f>
        <v>-78</v>
      </c>
      <c r="D3" t="str">
        <f t="shared" si="1"/>
        <v>-78,</v>
      </c>
      <c r="E3" t="str">
        <f t="shared" si="2"/>
        <v>-4.66234864932492E-06,</v>
      </c>
    </row>
    <row r="4" spans="1:5" x14ac:dyDescent="0.25">
      <c r="A4" s="11">
        <v>7.26547005776119E-5</v>
      </c>
      <c r="B4">
        <f t="shared" si="0"/>
        <v>1218.9436050059196</v>
      </c>
      <c r="C4">
        <f t="shared" ref="C4:C67" si="3">ROUND(B4,0)</f>
        <v>1219</v>
      </c>
      <c r="D4" t="str">
        <f t="shared" si="1"/>
        <v>1219,</v>
      </c>
      <c r="E4" t="str">
        <f t="shared" si="2"/>
        <v>7.26547005776119E-05,</v>
      </c>
    </row>
    <row r="5" spans="1:5" x14ac:dyDescent="0.25">
      <c r="A5" s="10">
        <v>1.8858163535404501E-4</v>
      </c>
      <c r="B5">
        <f t="shared" si="0"/>
        <v>3163.8748299680497</v>
      </c>
      <c r="C5">
        <f t="shared" si="3"/>
        <v>3164</v>
      </c>
      <c r="D5" t="str">
        <f t="shared" si="1"/>
        <v>3164,</v>
      </c>
      <c r="E5" t="str">
        <f t="shared" si="2"/>
        <v>0.000188581635354045,</v>
      </c>
    </row>
    <row r="6" spans="1:5" x14ac:dyDescent="0.25">
      <c r="A6" s="10">
        <v>3.4670875296537699E-4</v>
      </c>
      <c r="B6">
        <f t="shared" si="0"/>
        <v>5816.8076375907704</v>
      </c>
      <c r="C6">
        <f t="shared" si="3"/>
        <v>5817</v>
      </c>
      <c r="D6" t="str">
        <f t="shared" si="1"/>
        <v>5817,</v>
      </c>
      <c r="E6" t="str">
        <f t="shared" si="2"/>
        <v>0.000346708752965377,</v>
      </c>
    </row>
    <row r="7" spans="1:5" x14ac:dyDescent="0.25">
      <c r="A7" s="10">
        <v>5.5272206733488296E-4</v>
      </c>
      <c r="B7">
        <f t="shared" si="0"/>
        <v>9273.1375116438758</v>
      </c>
      <c r="C7">
        <f t="shared" si="3"/>
        <v>9273</v>
      </c>
      <c r="D7" t="str">
        <f t="shared" si="1"/>
        <v>9273,</v>
      </c>
      <c r="E7" t="str">
        <f t="shared" si="2"/>
        <v>0.000552722067334883,</v>
      </c>
    </row>
    <row r="8" spans="1:5" x14ac:dyDescent="0.25">
      <c r="A8" s="11">
        <v>8.1146259658454705E-4</v>
      </c>
      <c r="B8">
        <f t="shared" si="0"/>
        <v>13614.083258819808</v>
      </c>
      <c r="C8">
        <f t="shared" si="3"/>
        <v>13614</v>
      </c>
      <c r="D8" t="str">
        <f t="shared" si="1"/>
        <v>13614,</v>
      </c>
      <c r="E8" t="str">
        <f t="shared" si="2"/>
        <v>0.000811462596584547,</v>
      </c>
    </row>
    <row r="9" spans="1:5" x14ac:dyDescent="0.25">
      <c r="A9" s="10">
        <v>1.1276832760929499E-3</v>
      </c>
      <c r="B9">
        <f t="shared" si="0"/>
        <v>18919.385902599057</v>
      </c>
      <c r="C9">
        <f t="shared" si="3"/>
        <v>18919</v>
      </c>
      <c r="D9" t="str">
        <f t="shared" si="1"/>
        <v>18919,</v>
      </c>
      <c r="E9" t="str">
        <f t="shared" si="2"/>
        <v>0.00112768327609295,</v>
      </c>
    </row>
    <row r="10" spans="1:5" x14ac:dyDescent="0.25">
      <c r="A10" s="10">
        <v>1.50627765611537E-3</v>
      </c>
      <c r="B10">
        <f t="shared" si="0"/>
        <v>25271.145592621284</v>
      </c>
      <c r="C10">
        <f t="shared" si="3"/>
        <v>25271</v>
      </c>
      <c r="D10" t="str">
        <f t="shared" si="1"/>
        <v>25271,</v>
      </c>
      <c r="E10" t="str">
        <f t="shared" si="2"/>
        <v>0.00150627765611537,</v>
      </c>
    </row>
    <row r="11" spans="1:5" x14ac:dyDescent="0.25">
      <c r="A11" s="10">
        <v>1.9518618928495201E-3</v>
      </c>
      <c r="B11">
        <f t="shared" si="0"/>
        <v>32746.808578505254</v>
      </c>
      <c r="C11">
        <f t="shared" si="3"/>
        <v>32747</v>
      </c>
      <c r="D11" t="str">
        <f t="shared" si="1"/>
        <v>32747,</v>
      </c>
      <c r="E11" t="str">
        <f t="shared" si="2"/>
        <v>0.00195186189284952,</v>
      </c>
    </row>
    <row r="12" spans="1:5" x14ac:dyDescent="0.25">
      <c r="A12" s="10">
        <v>2.4682376583421402E-3</v>
      </c>
      <c r="B12">
        <f t="shared" si="0"/>
        <v>41410.156333340288</v>
      </c>
      <c r="C12">
        <f t="shared" si="3"/>
        <v>41410</v>
      </c>
      <c r="D12" t="str">
        <f t="shared" si="1"/>
        <v>41410,</v>
      </c>
      <c r="E12" t="str">
        <f t="shared" si="2"/>
        <v>0.00246823765834214,</v>
      </c>
    </row>
    <row r="13" spans="1:5" x14ac:dyDescent="0.25">
      <c r="A13" s="10">
        <v>3.0589888369533698E-3</v>
      </c>
      <c r="B13">
        <f t="shared" si="0"/>
        <v>51321.316459155467</v>
      </c>
      <c r="C13">
        <f t="shared" si="3"/>
        <v>51321</v>
      </c>
      <c r="D13" t="str">
        <f t="shared" si="1"/>
        <v>51321,</v>
      </c>
      <c r="E13" t="str">
        <f t="shared" si="2"/>
        <v>0.00305898883695337,</v>
      </c>
    </row>
    <row r="14" spans="1:5" x14ac:dyDescent="0.25">
      <c r="A14" s="10">
        <v>3.7264245618958401E-3</v>
      </c>
      <c r="B14">
        <f t="shared" si="0"/>
        <v>62519.029782631878</v>
      </c>
      <c r="C14">
        <f t="shared" si="3"/>
        <v>62519</v>
      </c>
      <c r="D14" t="str">
        <f t="shared" si="1"/>
        <v>62519,</v>
      </c>
      <c r="E14" t="str">
        <f t="shared" si="2"/>
        <v>0.00372642456189584,</v>
      </c>
    </row>
    <row r="15" spans="1:5" x14ac:dyDescent="0.25">
      <c r="A15" s="10">
        <v>4.4722866046102098E-3</v>
      </c>
      <c r="B15">
        <f t="shared" si="0"/>
        <v>75032.518379452085</v>
      </c>
      <c r="C15">
        <f t="shared" si="3"/>
        <v>75033</v>
      </c>
      <c r="D15" t="str">
        <f t="shared" si="1"/>
        <v>75033,</v>
      </c>
      <c r="E15" t="str">
        <f t="shared" si="2"/>
        <v>0.00447228660461021,</v>
      </c>
    </row>
    <row r="16" spans="1:5" x14ac:dyDescent="0.25">
      <c r="A16" s="10">
        <v>5.2971740195971702E-3</v>
      </c>
      <c r="B16">
        <f t="shared" si="0"/>
        <v>88871.832716369958</v>
      </c>
      <c r="C16">
        <f t="shared" si="3"/>
        <v>88872</v>
      </c>
      <c r="D16" t="str">
        <f t="shared" si="1"/>
        <v>88872,</v>
      </c>
      <c r="E16" t="str">
        <f t="shared" si="2"/>
        <v>0.00529717401959717,</v>
      </c>
    </row>
    <row r="17" spans="1:5" x14ac:dyDescent="0.25">
      <c r="A17" s="10">
        <v>6.2007404831536401E-3</v>
      </c>
      <c r="B17">
        <f t="shared" si="0"/>
        <v>104031.16244581298</v>
      </c>
      <c r="C17">
        <f t="shared" si="3"/>
        <v>104031</v>
      </c>
      <c r="D17" t="str">
        <f t="shared" si="1"/>
        <v>104031,</v>
      </c>
      <c r="E17" t="str">
        <f t="shared" si="2"/>
        <v>0.00620074048315364,</v>
      </c>
    </row>
    <row r="18" spans="1:5" x14ac:dyDescent="0.25">
      <c r="A18" s="10">
        <v>7.1812252741224403E-3</v>
      </c>
      <c r="B18">
        <f t="shared" si="0"/>
        <v>120480.96756861139</v>
      </c>
      <c r="C18">
        <f t="shared" si="3"/>
        <v>120481</v>
      </c>
      <c r="D18" t="str">
        <f t="shared" si="1"/>
        <v>120481,</v>
      </c>
      <c r="E18" t="str">
        <f t="shared" si="2"/>
        <v>0.00718122527412244,</v>
      </c>
    </row>
    <row r="19" spans="1:5" x14ac:dyDescent="0.25">
      <c r="A19" s="10">
        <v>8.2359499745822008E-3</v>
      </c>
      <c r="B19">
        <f t="shared" si="0"/>
        <v>138176.31168876009</v>
      </c>
      <c r="C19">
        <f t="shared" si="3"/>
        <v>138176</v>
      </c>
      <c r="D19" t="str">
        <f t="shared" si="1"/>
        <v>138176,</v>
      </c>
      <c r="E19" t="str">
        <f t="shared" si="2"/>
        <v>0.0082359499745822,</v>
      </c>
    </row>
    <row r="20" spans="1:5" x14ac:dyDescent="0.25">
      <c r="A20" s="10">
        <v>9.3606029347866795E-3</v>
      </c>
      <c r="B20">
        <f t="shared" si="0"/>
        <v>157044.85732715004</v>
      </c>
      <c r="C20">
        <f t="shared" si="3"/>
        <v>157045</v>
      </c>
      <c r="D20" t="str">
        <f t="shared" si="1"/>
        <v>157045,</v>
      </c>
      <c r="E20" t="str">
        <f t="shared" si="2"/>
        <v>0.00936060293478668,</v>
      </c>
    </row>
    <row r="21" spans="1:5" x14ac:dyDescent="0.25">
      <c r="A21" s="10">
        <v>1.05499981417133E-2</v>
      </c>
      <c r="B21">
        <f t="shared" si="0"/>
        <v>176999.59762312265</v>
      </c>
      <c r="C21">
        <f t="shared" si="3"/>
        <v>177000</v>
      </c>
      <c r="D21" t="str">
        <f t="shared" si="1"/>
        <v>177000,</v>
      </c>
      <c r="E21" t="str">
        <f t="shared" si="2"/>
        <v>0.0105499981417133,</v>
      </c>
    </row>
    <row r="22" spans="1:5" x14ac:dyDescent="0.25">
      <c r="A22" s="10">
        <v>1.17974378607986E-2</v>
      </c>
      <c r="B22">
        <f t="shared" si="0"/>
        <v>197928.16323719604</v>
      </c>
      <c r="C22">
        <f t="shared" si="3"/>
        <v>197928</v>
      </c>
      <c r="D22" t="str">
        <f t="shared" si="1"/>
        <v>197928,</v>
      </c>
      <c r="E22" t="str">
        <f t="shared" si="2"/>
        <v>0.0117974378607986,</v>
      </c>
    </row>
    <row r="23" spans="1:5" x14ac:dyDescent="0.25">
      <c r="A23" s="10">
        <v>1.3095198284648699E-2</v>
      </c>
      <c r="B23">
        <f t="shared" si="0"/>
        <v>219700.97018438071</v>
      </c>
      <c r="C23">
        <f t="shared" si="3"/>
        <v>219701</v>
      </c>
      <c r="D23" t="str">
        <f t="shared" si="1"/>
        <v>219701,</v>
      </c>
      <c r="E23" t="str">
        <f t="shared" si="2"/>
        <v>0.0130951982846487,</v>
      </c>
    </row>
    <row r="24" spans="1:5" x14ac:dyDescent="0.25">
      <c r="A24" s="10">
        <v>1.4434148148080901E-2</v>
      </c>
      <c r="B24">
        <f t="shared" si="0"/>
        <v>242164.82125635326</v>
      </c>
      <c r="C24">
        <f t="shared" si="3"/>
        <v>242165</v>
      </c>
      <c r="D24" t="str">
        <f t="shared" si="1"/>
        <v>242165,</v>
      </c>
      <c r="E24" t="str">
        <f t="shared" si="2"/>
        <v>0.0144341481480809,</v>
      </c>
    </row>
    <row r="25" spans="1:5" x14ac:dyDescent="0.25">
      <c r="A25" s="10">
        <v>1.5804337818584199E-2</v>
      </c>
      <c r="B25">
        <f t="shared" si="0"/>
        <v>265152.78931935591</v>
      </c>
      <c r="C25">
        <f t="shared" si="3"/>
        <v>265153</v>
      </c>
      <c r="D25" t="str">
        <f t="shared" si="1"/>
        <v>265153,</v>
      </c>
      <c r="E25" t="str">
        <f t="shared" si="2"/>
        <v>0.0158043378185842,</v>
      </c>
    </row>
    <row r="26" spans="1:5" x14ac:dyDescent="0.25">
      <c r="A26" s="10">
        <v>1.71944526598782E-2</v>
      </c>
      <c r="B26">
        <f t="shared" si="0"/>
        <v>288475.04627655109</v>
      </c>
      <c r="C26">
        <f t="shared" si="3"/>
        <v>288475</v>
      </c>
      <c r="D26" t="str">
        <f t="shared" si="1"/>
        <v>288475,</v>
      </c>
      <c r="E26" t="str">
        <f t="shared" si="2"/>
        <v>0.0171944526598782,</v>
      </c>
    </row>
    <row r="27" spans="1:5" x14ac:dyDescent="0.25">
      <c r="A27" s="10">
        <v>1.8592738714725599E-2</v>
      </c>
      <c r="B27">
        <f t="shared" si="0"/>
        <v>311934.39344851376</v>
      </c>
      <c r="C27">
        <f t="shared" si="3"/>
        <v>311934</v>
      </c>
      <c r="D27" t="str">
        <f t="shared" si="1"/>
        <v>311934,</v>
      </c>
      <c r="E27" t="str">
        <f t="shared" si="2"/>
        <v>0.0185927387147256,</v>
      </c>
    </row>
    <row r="28" spans="1:5" x14ac:dyDescent="0.25">
      <c r="A28" s="10">
        <v>1.9986383771068799E-2</v>
      </c>
      <c r="B28">
        <f t="shared" si="0"/>
        <v>335315.87758611579</v>
      </c>
      <c r="C28">
        <f t="shared" si="3"/>
        <v>335316</v>
      </c>
      <c r="D28" t="str">
        <f t="shared" si="1"/>
        <v>335316,</v>
      </c>
      <c r="E28" t="str">
        <f t="shared" si="2"/>
        <v>0.0199863837710688,</v>
      </c>
    </row>
    <row r="29" spans="1:5" x14ac:dyDescent="0.25">
      <c r="A29" s="10">
        <v>2.1362336254683999E-2</v>
      </c>
      <c r="B29">
        <f t="shared" si="0"/>
        <v>358400.52960946446</v>
      </c>
      <c r="C29">
        <f t="shared" si="3"/>
        <v>358401</v>
      </c>
      <c r="D29" t="str">
        <f t="shared" si="1"/>
        <v>358401,</v>
      </c>
      <c r="E29" t="str">
        <f t="shared" si="2"/>
        <v>0.021362336254684,</v>
      </c>
    </row>
    <row r="30" spans="1:5" x14ac:dyDescent="0.25">
      <c r="A30" s="10">
        <v>2.2707065296873601E-2</v>
      </c>
      <c r="B30">
        <f t="shared" si="0"/>
        <v>380961.33921175252</v>
      </c>
      <c r="C30">
        <f t="shared" si="3"/>
        <v>380961</v>
      </c>
      <c r="D30" t="str">
        <f t="shared" si="1"/>
        <v>380961,</v>
      </c>
      <c r="E30" t="str">
        <f t="shared" si="2"/>
        <v>0.0227070652968736,</v>
      </c>
    </row>
    <row r="31" spans="1:5" x14ac:dyDescent="0.25">
      <c r="A31" s="10">
        <v>2.4007213246799199E-2</v>
      </c>
      <c r="B31">
        <f t="shared" si="0"/>
        <v>402774.20219961146</v>
      </c>
      <c r="C31">
        <f t="shared" si="3"/>
        <v>402774</v>
      </c>
      <c r="D31" t="str">
        <f t="shared" si="1"/>
        <v>402774,</v>
      </c>
      <c r="E31" t="str">
        <f t="shared" si="2"/>
        <v>0.0240072132467992,</v>
      </c>
    </row>
    <row r="32" spans="1:5" x14ac:dyDescent="0.25">
      <c r="A32" s="10">
        <v>2.5249089789830401E-2</v>
      </c>
      <c r="B32">
        <f t="shared" si="0"/>
        <v>423609.43320737925</v>
      </c>
      <c r="C32">
        <f t="shared" si="3"/>
        <v>423609</v>
      </c>
      <c r="D32" t="str">
        <f t="shared" si="1"/>
        <v>423609,</v>
      </c>
      <c r="E32" t="str">
        <f t="shared" si="2"/>
        <v>0.0252490897898304,</v>
      </c>
    </row>
    <row r="33" spans="1:5" x14ac:dyDescent="0.25">
      <c r="A33" s="10">
        <v>2.64197720130552E-2</v>
      </c>
      <c r="B33">
        <f t="shared" si="0"/>
        <v>443250.22173378192</v>
      </c>
      <c r="C33">
        <f t="shared" si="3"/>
        <v>443250</v>
      </c>
      <c r="D33" t="str">
        <f t="shared" si="1"/>
        <v>443250,</v>
      </c>
      <c r="E33" t="str">
        <f t="shared" si="2"/>
        <v>0.0264197720130552,</v>
      </c>
    </row>
    <row r="34" spans="1:5" x14ac:dyDescent="0.25">
      <c r="A34" s="10">
        <v>2.7506082275031499E-2</v>
      </c>
      <c r="B34">
        <f t="shared" si="0"/>
        <v>461475.48364197486</v>
      </c>
      <c r="C34">
        <f t="shared" si="3"/>
        <v>461475</v>
      </c>
      <c r="D34" t="str">
        <f t="shared" si="1"/>
        <v>461475,</v>
      </c>
      <c r="E34" t="str">
        <f t="shared" si="2"/>
        <v>0.0275060822750315,</v>
      </c>
    </row>
    <row r="35" spans="1:5" x14ac:dyDescent="0.25">
      <c r="A35" s="10">
        <v>2.8495993734706699E-2</v>
      </c>
      <c r="B35">
        <f t="shared" si="0"/>
        <v>478083.44202182099</v>
      </c>
      <c r="C35">
        <f t="shared" si="3"/>
        <v>478083</v>
      </c>
      <c r="D35" t="str">
        <f t="shared" si="1"/>
        <v>478083,</v>
      </c>
      <c r="E35" t="str">
        <f t="shared" si="2"/>
        <v>0.0284959937347067,</v>
      </c>
    </row>
    <row r="36" spans="1:5" x14ac:dyDescent="0.25">
      <c r="A36" s="10">
        <v>2.9378268815131101E-2</v>
      </c>
      <c r="B36">
        <f t="shared" si="0"/>
        <v>492885.56161751854</v>
      </c>
      <c r="C36">
        <f t="shared" si="3"/>
        <v>492886</v>
      </c>
      <c r="D36" t="str">
        <f t="shared" si="1"/>
        <v>492886,</v>
      </c>
      <c r="E36" t="str">
        <f t="shared" si="2"/>
        <v>0.0293782688151311,</v>
      </c>
    </row>
    <row r="37" spans="1:5" x14ac:dyDescent="0.25">
      <c r="A37" s="10">
        <v>3.0143045930408601E-2</v>
      </c>
      <c r="B37">
        <f t="shared" si="0"/>
        <v>505716.39247238607</v>
      </c>
      <c r="C37">
        <f t="shared" si="3"/>
        <v>505716</v>
      </c>
      <c r="D37" t="str">
        <f t="shared" si="1"/>
        <v>505716,</v>
      </c>
      <c r="E37" t="str">
        <f t="shared" si="2"/>
        <v>0.0301430459304086,</v>
      </c>
    </row>
    <row r="38" spans="1:5" x14ac:dyDescent="0.25">
      <c r="A38" s="10">
        <v>3.0781337017504601E-2</v>
      </c>
      <c r="B38">
        <f t="shared" si="0"/>
        <v>516425.13991147047</v>
      </c>
      <c r="C38">
        <f t="shared" si="3"/>
        <v>516425</v>
      </c>
      <c r="D38" t="str">
        <f t="shared" si="1"/>
        <v>516425,</v>
      </c>
      <c r="E38" t="str">
        <f t="shared" si="2"/>
        <v>0.0307813370175046,</v>
      </c>
    </row>
    <row r="39" spans="1:5" x14ac:dyDescent="0.25">
      <c r="A39" s="10">
        <v>3.1286851783454597E-2</v>
      </c>
      <c r="B39">
        <f t="shared" si="0"/>
        <v>524906.270331003</v>
      </c>
      <c r="C39">
        <f t="shared" si="3"/>
        <v>524906</v>
      </c>
      <c r="D39" t="str">
        <f t="shared" si="1"/>
        <v>524906,</v>
      </c>
      <c r="E39" t="str">
        <f t="shared" si="2"/>
        <v>0.0312868517834546,</v>
      </c>
    </row>
    <row r="40" spans="1:5" x14ac:dyDescent="0.25">
      <c r="A40" s="10">
        <v>3.16511571461165E-2</v>
      </c>
      <c r="B40">
        <f t="shared" si="0"/>
        <v>531018.30009034008</v>
      </c>
      <c r="C40">
        <f t="shared" si="3"/>
        <v>531018</v>
      </c>
      <c r="D40" t="str">
        <f t="shared" si="1"/>
        <v>531018,</v>
      </c>
      <c r="E40" t="str">
        <f t="shared" si="2"/>
        <v>0.0316511571461165,</v>
      </c>
    </row>
    <row r="41" spans="1:5" x14ac:dyDescent="0.25">
      <c r="A41" s="10">
        <v>3.1871198471466702E-2</v>
      </c>
      <c r="B41">
        <f t="shared" si="0"/>
        <v>534709.9809346667</v>
      </c>
      <c r="C41">
        <f t="shared" si="3"/>
        <v>534710</v>
      </c>
      <c r="D41" t="str">
        <f t="shared" si="1"/>
        <v>534710,</v>
      </c>
      <c r="E41" t="str">
        <f t="shared" si="2"/>
        <v>0.0318711984714667,</v>
      </c>
    </row>
    <row r="42" spans="1:5" x14ac:dyDescent="0.25">
      <c r="A42" s="10">
        <v>3.1945967368955497E-2</v>
      </c>
      <c r="B42">
        <f t="shared" si="0"/>
        <v>535964.39487791806</v>
      </c>
      <c r="C42">
        <f t="shared" si="3"/>
        <v>535964</v>
      </c>
      <c r="D42" t="str">
        <f t="shared" si="1"/>
        <v>535964,</v>
      </c>
      <c r="E42" t="str">
        <f t="shared" si="2"/>
        <v>0.0319459673689555,</v>
      </c>
    </row>
    <row r="43" spans="1:5" x14ac:dyDescent="0.25">
      <c r="A43" s="10">
        <v>3.1871198471466702E-2</v>
      </c>
      <c r="B43">
        <f t="shared" si="0"/>
        <v>534709.9809346667</v>
      </c>
      <c r="C43">
        <f t="shared" si="3"/>
        <v>534710</v>
      </c>
      <c r="D43" t="str">
        <f t="shared" si="1"/>
        <v>534710,</v>
      </c>
      <c r="E43" t="str">
        <f t="shared" si="2"/>
        <v>0.0318711984714667,</v>
      </c>
    </row>
    <row r="44" spans="1:5" x14ac:dyDescent="0.25">
      <c r="A44" s="10">
        <v>3.16511571461165E-2</v>
      </c>
      <c r="B44">
        <f t="shared" si="0"/>
        <v>531018.30009034008</v>
      </c>
      <c r="C44">
        <f t="shared" si="3"/>
        <v>531018</v>
      </c>
      <c r="D44" t="str">
        <f t="shared" si="1"/>
        <v>531018,</v>
      </c>
      <c r="E44" t="str">
        <f t="shared" si="2"/>
        <v>0.0316511571461165,</v>
      </c>
    </row>
    <row r="45" spans="1:5" x14ac:dyDescent="0.25">
      <c r="A45" s="10">
        <v>3.1286851783454597E-2</v>
      </c>
      <c r="B45">
        <f t="shared" si="0"/>
        <v>524906.270331003</v>
      </c>
      <c r="C45">
        <f t="shared" si="3"/>
        <v>524906</v>
      </c>
      <c r="D45" t="str">
        <f t="shared" si="1"/>
        <v>524906,</v>
      </c>
      <c r="E45" t="str">
        <f t="shared" si="2"/>
        <v>0.0312868517834546,</v>
      </c>
    </row>
    <row r="46" spans="1:5" x14ac:dyDescent="0.25">
      <c r="A46" s="10">
        <v>3.0781337017504601E-2</v>
      </c>
      <c r="B46">
        <f t="shared" si="0"/>
        <v>516425.13991147047</v>
      </c>
      <c r="C46">
        <f t="shared" si="3"/>
        <v>516425</v>
      </c>
      <c r="D46" t="str">
        <f t="shared" si="1"/>
        <v>516425,</v>
      </c>
      <c r="E46" t="str">
        <f t="shared" si="2"/>
        <v>0.0307813370175046,</v>
      </c>
    </row>
    <row r="47" spans="1:5" x14ac:dyDescent="0.25">
      <c r="A47" s="10">
        <v>3.0143045930408601E-2</v>
      </c>
      <c r="B47">
        <f t="shared" si="0"/>
        <v>505716.39247238607</v>
      </c>
      <c r="C47">
        <f t="shared" si="3"/>
        <v>505716</v>
      </c>
      <c r="D47" t="str">
        <f t="shared" si="1"/>
        <v>505716,</v>
      </c>
      <c r="E47" t="str">
        <f t="shared" si="2"/>
        <v>0.0301430459304086,</v>
      </c>
    </row>
    <row r="48" spans="1:5" x14ac:dyDescent="0.25">
      <c r="A48" s="10">
        <v>2.9378268815131101E-2</v>
      </c>
      <c r="B48">
        <f t="shared" si="0"/>
        <v>492885.56161751854</v>
      </c>
      <c r="C48">
        <f t="shared" si="3"/>
        <v>492886</v>
      </c>
      <c r="D48" t="str">
        <f t="shared" si="1"/>
        <v>492886,</v>
      </c>
      <c r="E48" t="str">
        <f t="shared" si="2"/>
        <v>0.0293782688151311,</v>
      </c>
    </row>
    <row r="49" spans="1:5" x14ac:dyDescent="0.25">
      <c r="A49" s="10">
        <v>2.8495993734706699E-2</v>
      </c>
      <c r="B49">
        <f t="shared" si="0"/>
        <v>478083.44202182099</v>
      </c>
      <c r="C49">
        <f t="shared" si="3"/>
        <v>478083</v>
      </c>
      <c r="D49" t="str">
        <f t="shared" si="1"/>
        <v>478083,</v>
      </c>
      <c r="E49" t="str">
        <f t="shared" si="2"/>
        <v>0.0284959937347067,</v>
      </c>
    </row>
    <row r="50" spans="1:5" x14ac:dyDescent="0.25">
      <c r="A50" s="10">
        <v>2.7506082275031499E-2</v>
      </c>
      <c r="B50">
        <f t="shared" si="0"/>
        <v>461475.48364197486</v>
      </c>
      <c r="C50">
        <f t="shared" si="3"/>
        <v>461475</v>
      </c>
      <c r="D50" t="str">
        <f t="shared" si="1"/>
        <v>461475,</v>
      </c>
      <c r="E50" t="str">
        <f t="shared" si="2"/>
        <v>0.0275060822750315,</v>
      </c>
    </row>
    <row r="51" spans="1:5" x14ac:dyDescent="0.25">
      <c r="A51" s="10">
        <v>2.64197720130552E-2</v>
      </c>
      <c r="B51">
        <f t="shared" si="0"/>
        <v>443250.22173378192</v>
      </c>
      <c r="C51">
        <f t="shared" si="3"/>
        <v>443250</v>
      </c>
      <c r="D51" t="str">
        <f t="shared" si="1"/>
        <v>443250,</v>
      </c>
      <c r="E51" t="str">
        <f t="shared" si="2"/>
        <v>0.0264197720130552,</v>
      </c>
    </row>
    <row r="52" spans="1:5" x14ac:dyDescent="0.25">
      <c r="A52" s="10">
        <v>2.5249089789830401E-2</v>
      </c>
      <c r="B52">
        <f t="shared" si="0"/>
        <v>423609.43320737925</v>
      </c>
      <c r="C52">
        <f t="shared" si="3"/>
        <v>423609</v>
      </c>
      <c r="D52" t="str">
        <f t="shared" si="1"/>
        <v>423609,</v>
      </c>
      <c r="E52" t="str">
        <f t="shared" si="2"/>
        <v>0.0252490897898304,</v>
      </c>
    </row>
    <row r="53" spans="1:5" x14ac:dyDescent="0.25">
      <c r="A53" s="10">
        <v>2.4007213246799199E-2</v>
      </c>
      <c r="B53">
        <f t="shared" si="0"/>
        <v>402774.20219961146</v>
      </c>
      <c r="C53">
        <f t="shared" si="3"/>
        <v>402774</v>
      </c>
      <c r="D53" t="str">
        <f t="shared" si="1"/>
        <v>402774,</v>
      </c>
      <c r="E53" t="str">
        <f t="shared" si="2"/>
        <v>0.0240072132467992,</v>
      </c>
    </row>
    <row r="54" spans="1:5" x14ac:dyDescent="0.25">
      <c r="A54" s="10">
        <v>2.2707065296873601E-2</v>
      </c>
      <c r="B54">
        <f t="shared" si="0"/>
        <v>380961.33921175252</v>
      </c>
      <c r="C54">
        <f t="shared" si="3"/>
        <v>380961</v>
      </c>
      <c r="D54" t="str">
        <f t="shared" si="1"/>
        <v>380961,</v>
      </c>
      <c r="E54" t="str">
        <f t="shared" si="2"/>
        <v>0.0227070652968736,</v>
      </c>
    </row>
    <row r="55" spans="1:5" x14ac:dyDescent="0.25">
      <c r="A55" s="10">
        <v>2.1362336254683999E-2</v>
      </c>
      <c r="B55">
        <f t="shared" si="0"/>
        <v>358400.52960946446</v>
      </c>
      <c r="C55">
        <f t="shared" si="3"/>
        <v>358401</v>
      </c>
      <c r="D55" t="str">
        <f t="shared" si="1"/>
        <v>358401,</v>
      </c>
      <c r="E55" t="str">
        <f t="shared" si="2"/>
        <v>0.021362336254684,</v>
      </c>
    </row>
    <row r="56" spans="1:5" x14ac:dyDescent="0.25">
      <c r="A56" s="10">
        <v>1.9986383771068799E-2</v>
      </c>
      <c r="B56">
        <f t="shared" si="0"/>
        <v>335315.87758611579</v>
      </c>
      <c r="C56">
        <f t="shared" si="3"/>
        <v>335316</v>
      </c>
      <c r="D56" t="str">
        <f t="shared" si="1"/>
        <v>335316,</v>
      </c>
      <c r="E56" t="str">
        <f t="shared" si="2"/>
        <v>0.0199863837710688,</v>
      </c>
    </row>
    <row r="57" spans="1:5" x14ac:dyDescent="0.25">
      <c r="A57" s="10">
        <v>1.8592738714725599E-2</v>
      </c>
      <c r="B57">
        <f t="shared" si="0"/>
        <v>311934.39344851376</v>
      </c>
      <c r="C57">
        <f t="shared" si="3"/>
        <v>311934</v>
      </c>
      <c r="D57" t="str">
        <f t="shared" si="1"/>
        <v>311934,</v>
      </c>
      <c r="E57" t="str">
        <f t="shared" si="2"/>
        <v>0.0185927387147256,</v>
      </c>
    </row>
    <row r="58" spans="1:5" x14ac:dyDescent="0.25">
      <c r="A58" s="10">
        <v>1.71944526598782E-2</v>
      </c>
      <c r="B58">
        <f t="shared" si="0"/>
        <v>288475.04627655109</v>
      </c>
      <c r="C58">
        <f t="shared" si="3"/>
        <v>288475</v>
      </c>
      <c r="D58" t="str">
        <f t="shared" si="1"/>
        <v>288475,</v>
      </c>
      <c r="E58" t="str">
        <f t="shared" si="2"/>
        <v>0.0171944526598782,</v>
      </c>
    </row>
    <row r="59" spans="1:5" x14ac:dyDescent="0.25">
      <c r="A59" s="10">
        <v>1.5804337818584199E-2</v>
      </c>
      <c r="B59">
        <f t="shared" si="0"/>
        <v>265152.78931935591</v>
      </c>
      <c r="C59">
        <f t="shared" si="3"/>
        <v>265153</v>
      </c>
      <c r="D59" t="str">
        <f t="shared" si="1"/>
        <v>265153,</v>
      </c>
      <c r="E59" t="str">
        <f t="shared" si="2"/>
        <v>0.0158043378185842,</v>
      </c>
    </row>
    <row r="60" spans="1:5" x14ac:dyDescent="0.25">
      <c r="A60" s="10">
        <v>1.4434148148080901E-2</v>
      </c>
      <c r="B60">
        <f t="shared" si="0"/>
        <v>242164.82125635326</v>
      </c>
      <c r="C60">
        <f t="shared" si="3"/>
        <v>242165</v>
      </c>
      <c r="D60" t="str">
        <f t="shared" si="1"/>
        <v>242165,</v>
      </c>
      <c r="E60" t="str">
        <f t="shared" si="2"/>
        <v>0.0144341481480809,</v>
      </c>
    </row>
    <row r="61" spans="1:5" x14ac:dyDescent="0.25">
      <c r="A61" s="10">
        <v>1.3095198284648699E-2</v>
      </c>
      <c r="B61">
        <f t="shared" si="0"/>
        <v>219700.97018438071</v>
      </c>
      <c r="C61">
        <f t="shared" si="3"/>
        <v>219701</v>
      </c>
      <c r="D61" t="str">
        <f t="shared" si="1"/>
        <v>219701,</v>
      </c>
      <c r="E61" t="str">
        <f t="shared" si="2"/>
        <v>0.0130951982846487,</v>
      </c>
    </row>
    <row r="62" spans="1:5" x14ac:dyDescent="0.25">
      <c r="A62" s="10">
        <v>1.17974378607986E-2</v>
      </c>
      <c r="B62">
        <f t="shared" si="0"/>
        <v>197928.16323719604</v>
      </c>
      <c r="C62">
        <f t="shared" si="3"/>
        <v>197928</v>
      </c>
      <c r="D62" t="str">
        <f t="shared" si="1"/>
        <v>197928,</v>
      </c>
      <c r="E62" t="str">
        <f t="shared" si="2"/>
        <v>0.0117974378607986,</v>
      </c>
    </row>
    <row r="63" spans="1:5" x14ac:dyDescent="0.25">
      <c r="A63" s="10">
        <v>1.05499981417133E-2</v>
      </c>
      <c r="B63">
        <f t="shared" si="0"/>
        <v>176999.59762312265</v>
      </c>
      <c r="C63">
        <f t="shared" si="3"/>
        <v>177000</v>
      </c>
      <c r="D63" t="str">
        <f t="shared" si="1"/>
        <v>177000,</v>
      </c>
      <c r="E63" t="str">
        <f t="shared" si="2"/>
        <v>0.0105499981417133,</v>
      </c>
    </row>
    <row r="64" spans="1:5" x14ac:dyDescent="0.25">
      <c r="A64" s="10">
        <v>9.3606029347866795E-3</v>
      </c>
      <c r="B64">
        <f t="shared" si="0"/>
        <v>157044.85732715004</v>
      </c>
      <c r="C64">
        <f t="shared" si="3"/>
        <v>157045</v>
      </c>
      <c r="D64" t="str">
        <f t="shared" si="1"/>
        <v>157045,</v>
      </c>
      <c r="E64" t="str">
        <f t="shared" si="2"/>
        <v>0.00936060293478668,</v>
      </c>
    </row>
    <row r="65" spans="1:5" x14ac:dyDescent="0.25">
      <c r="A65" s="10">
        <v>8.2359499745822008E-3</v>
      </c>
      <c r="B65">
        <f t="shared" si="0"/>
        <v>138176.31168876009</v>
      </c>
      <c r="C65">
        <f t="shared" si="3"/>
        <v>138176</v>
      </c>
      <c r="D65" t="str">
        <f t="shared" si="1"/>
        <v>138176,</v>
      </c>
      <c r="E65" t="str">
        <f t="shared" si="2"/>
        <v>0.0082359499745822,</v>
      </c>
    </row>
    <row r="66" spans="1:5" x14ac:dyDescent="0.25">
      <c r="A66" s="10">
        <v>7.1812252741224403E-3</v>
      </c>
      <c r="B66">
        <f t="shared" ref="B66:B83" si="4">A66*2^24</f>
        <v>120480.96756861139</v>
      </c>
      <c r="C66">
        <f t="shared" si="3"/>
        <v>120481</v>
      </c>
      <c r="D66" t="str">
        <f t="shared" ref="D66:D83" si="5">C66&amp;","</f>
        <v>120481,</v>
      </c>
      <c r="E66" t="str">
        <f t="shared" ref="E66:E83" si="6">A66&amp;","</f>
        <v>0.00718122527412244,</v>
      </c>
    </row>
    <row r="67" spans="1:5" x14ac:dyDescent="0.25">
      <c r="A67" s="10">
        <v>6.2007404831536401E-3</v>
      </c>
      <c r="B67">
        <f t="shared" si="4"/>
        <v>104031.16244581298</v>
      </c>
      <c r="C67">
        <f t="shared" si="3"/>
        <v>104031</v>
      </c>
      <c r="D67" t="str">
        <f t="shared" si="5"/>
        <v>104031,</v>
      </c>
      <c r="E67" t="str">
        <f t="shared" si="6"/>
        <v>0.00620074048315364,</v>
      </c>
    </row>
    <row r="68" spans="1:5" x14ac:dyDescent="0.25">
      <c r="A68" s="10">
        <v>5.2971740195971702E-3</v>
      </c>
      <c r="B68">
        <f t="shared" si="4"/>
        <v>88871.832716369958</v>
      </c>
      <c r="C68">
        <f t="shared" ref="C68:C83" si="7">ROUND(B68,0)</f>
        <v>88872</v>
      </c>
      <c r="D68" t="str">
        <f t="shared" si="5"/>
        <v>88872,</v>
      </c>
      <c r="E68" t="str">
        <f t="shared" si="6"/>
        <v>0.00529717401959717,</v>
      </c>
    </row>
    <row r="69" spans="1:5" x14ac:dyDescent="0.25">
      <c r="A69" s="10">
        <v>4.4722866046102098E-3</v>
      </c>
      <c r="B69">
        <f t="shared" si="4"/>
        <v>75032.518379452085</v>
      </c>
      <c r="C69">
        <f t="shared" si="7"/>
        <v>75033</v>
      </c>
      <c r="D69" t="str">
        <f t="shared" si="5"/>
        <v>75033,</v>
      </c>
      <c r="E69" t="str">
        <f t="shared" si="6"/>
        <v>0.00447228660461021,</v>
      </c>
    </row>
    <row r="70" spans="1:5" x14ac:dyDescent="0.25">
      <c r="A70" s="10">
        <v>3.7264245618958401E-3</v>
      </c>
      <c r="B70">
        <f t="shared" si="4"/>
        <v>62519.029782631878</v>
      </c>
      <c r="C70">
        <f t="shared" si="7"/>
        <v>62519</v>
      </c>
      <c r="D70" t="str">
        <f t="shared" si="5"/>
        <v>62519,</v>
      </c>
      <c r="E70" t="str">
        <f t="shared" si="6"/>
        <v>0.00372642456189584,</v>
      </c>
    </row>
    <row r="71" spans="1:5" x14ac:dyDescent="0.25">
      <c r="A71" s="10">
        <v>3.0589888369533698E-3</v>
      </c>
      <c r="B71">
        <f t="shared" si="4"/>
        <v>51321.316459155467</v>
      </c>
      <c r="C71">
        <f t="shared" si="7"/>
        <v>51321</v>
      </c>
      <c r="D71" t="str">
        <f t="shared" si="5"/>
        <v>51321,</v>
      </c>
      <c r="E71" t="str">
        <f t="shared" si="6"/>
        <v>0.00305898883695337,</v>
      </c>
    </row>
    <row r="72" spans="1:5" x14ac:dyDescent="0.25">
      <c r="A72" s="10">
        <v>2.4682376583421402E-3</v>
      </c>
      <c r="B72">
        <f t="shared" si="4"/>
        <v>41410.156333340288</v>
      </c>
      <c r="C72">
        <f t="shared" si="7"/>
        <v>41410</v>
      </c>
      <c r="D72" t="str">
        <f t="shared" si="5"/>
        <v>41410,</v>
      </c>
      <c r="E72" t="str">
        <f t="shared" si="6"/>
        <v>0.00246823765834214,</v>
      </c>
    </row>
    <row r="73" spans="1:5" x14ac:dyDescent="0.25">
      <c r="A73" s="10">
        <v>1.9518618928495201E-3</v>
      </c>
      <c r="B73">
        <f t="shared" si="4"/>
        <v>32746.808578505254</v>
      </c>
      <c r="C73">
        <f t="shared" si="7"/>
        <v>32747</v>
      </c>
      <c r="D73" t="str">
        <f t="shared" si="5"/>
        <v>32747,</v>
      </c>
      <c r="E73" t="str">
        <f t="shared" si="6"/>
        <v>0.00195186189284952,</v>
      </c>
    </row>
    <row r="74" spans="1:5" x14ac:dyDescent="0.25">
      <c r="A74" s="10">
        <v>1.50627765611537E-3</v>
      </c>
      <c r="B74">
        <f t="shared" si="4"/>
        <v>25271.145592621284</v>
      </c>
      <c r="C74">
        <f t="shared" si="7"/>
        <v>25271</v>
      </c>
      <c r="D74" t="str">
        <f t="shared" si="5"/>
        <v>25271,</v>
      </c>
      <c r="E74" t="str">
        <f t="shared" si="6"/>
        <v>0.00150627765611537,</v>
      </c>
    </row>
    <row r="75" spans="1:5" x14ac:dyDescent="0.25">
      <c r="A75" s="10">
        <v>1.1276832760929499E-3</v>
      </c>
      <c r="B75">
        <f t="shared" si="4"/>
        <v>18919.385902599057</v>
      </c>
      <c r="C75">
        <f t="shared" si="7"/>
        <v>18919</v>
      </c>
      <c r="D75" t="str">
        <f t="shared" si="5"/>
        <v>18919,</v>
      </c>
      <c r="E75" t="str">
        <f t="shared" si="6"/>
        <v>0.00112768327609295,</v>
      </c>
    </row>
    <row r="76" spans="1:5" x14ac:dyDescent="0.25">
      <c r="A76" s="10">
        <v>8.1146259658454705E-4</v>
      </c>
      <c r="B76">
        <f t="shared" si="4"/>
        <v>13614.083258819808</v>
      </c>
      <c r="C76">
        <f t="shared" si="7"/>
        <v>13614</v>
      </c>
      <c r="D76" t="str">
        <f t="shared" si="5"/>
        <v>13614,</v>
      </c>
      <c r="E76" t="str">
        <f t="shared" si="6"/>
        <v>0.000811462596584547,</v>
      </c>
    </row>
    <row r="77" spans="1:5" x14ac:dyDescent="0.25">
      <c r="A77" s="10">
        <v>5.5272206733488296E-4</v>
      </c>
      <c r="B77">
        <f t="shared" si="4"/>
        <v>9273.1375116438758</v>
      </c>
      <c r="C77">
        <f t="shared" si="7"/>
        <v>9273</v>
      </c>
      <c r="D77" t="str">
        <f t="shared" si="5"/>
        <v>9273,</v>
      </c>
      <c r="E77" t="str">
        <f t="shared" si="6"/>
        <v>0.000552722067334883,</v>
      </c>
    </row>
    <row r="78" spans="1:5" x14ac:dyDescent="0.25">
      <c r="A78" s="10">
        <v>3.4670875296537699E-4</v>
      </c>
      <c r="B78">
        <f t="shared" si="4"/>
        <v>5816.8076375907704</v>
      </c>
      <c r="C78">
        <f t="shared" si="7"/>
        <v>5817</v>
      </c>
      <c r="D78" t="str">
        <f t="shared" si="5"/>
        <v>5817,</v>
      </c>
      <c r="E78" t="str">
        <f t="shared" si="6"/>
        <v>0.000346708752965377,</v>
      </c>
    </row>
    <row r="79" spans="1:5" x14ac:dyDescent="0.25">
      <c r="A79" s="10">
        <v>1.8858163535404501E-4</v>
      </c>
      <c r="B79">
        <f t="shared" si="4"/>
        <v>3163.8748299680497</v>
      </c>
      <c r="C79">
        <f t="shared" si="7"/>
        <v>3164</v>
      </c>
      <c r="D79" t="str">
        <f t="shared" si="5"/>
        <v>3164,</v>
      </c>
      <c r="E79" t="str">
        <f t="shared" si="6"/>
        <v>0.000188581635354045,</v>
      </c>
    </row>
    <row r="80" spans="1:5" x14ac:dyDescent="0.25">
      <c r="A80" s="11">
        <v>7.26547005776119E-5</v>
      </c>
      <c r="B80">
        <f t="shared" si="4"/>
        <v>1218.9436050059196</v>
      </c>
      <c r="C80">
        <f t="shared" si="7"/>
        <v>1219</v>
      </c>
      <c r="D80" t="str">
        <f t="shared" si="5"/>
        <v>1219,</v>
      </c>
      <c r="E80" t="str">
        <f t="shared" si="6"/>
        <v>7.26547005776119E-05,</v>
      </c>
    </row>
    <row r="81" spans="1:5" x14ac:dyDescent="0.25">
      <c r="A81" s="11">
        <v>-4.6623486493249201E-6</v>
      </c>
      <c r="B81">
        <f t="shared" si="4"/>
        <v>-78.221230357032439</v>
      </c>
      <c r="C81">
        <f t="shared" si="7"/>
        <v>-78</v>
      </c>
      <c r="D81" t="str">
        <f t="shared" si="5"/>
        <v>-78,</v>
      </c>
      <c r="E81" t="str">
        <f t="shared" si="6"/>
        <v>-4.66234864932492E-06,</v>
      </c>
    </row>
    <row r="82" spans="1:5" x14ac:dyDescent="0.25">
      <c r="A82" s="10">
        <v>-4.8113364752870003E-5</v>
      </c>
      <c r="B82">
        <f t="shared" si="4"/>
        <v>-807.20831294568666</v>
      </c>
      <c r="C82">
        <f t="shared" si="7"/>
        <v>-807</v>
      </c>
      <c r="D82" t="str">
        <f t="shared" si="5"/>
        <v>-807,</v>
      </c>
      <c r="E82" t="str">
        <f t="shared" si="6"/>
        <v>-0.00004811336475287,</v>
      </c>
    </row>
    <row r="83" spans="1:5" x14ac:dyDescent="0.25">
      <c r="A83" s="10">
        <v>-9.6786217357096901E-4</v>
      </c>
      <c r="B83">
        <f t="shared" si="4"/>
        <v>-16238.032744229638</v>
      </c>
      <c r="C83">
        <f t="shared" si="7"/>
        <v>-16238</v>
      </c>
      <c r="D83">
        <f>C83</f>
        <v>-16238</v>
      </c>
      <c r="E83">
        <f>A83</f>
        <v>-9.6786217357096901E-4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Mabrouk</dc:creator>
  <cp:lastModifiedBy>Farid Mabrouk</cp:lastModifiedBy>
  <dcterms:created xsi:type="dcterms:W3CDTF">2024-11-27T00:04:12Z</dcterms:created>
  <dcterms:modified xsi:type="dcterms:W3CDTF">2025-12-18T20:47:42Z</dcterms:modified>
</cp:coreProperties>
</file>